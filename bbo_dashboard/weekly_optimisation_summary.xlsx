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yzu\Documents\MZ_Jupyter_Work\Imperial_BBO_Exercise\Capstone_BBO_Stage_2_MZ\streamlit-bbo\"/>
    </mc:Choice>
  </mc:AlternateContent>
  <xr:revisionPtr revIDLastSave="0" documentId="13_ncr:1_{FC7E168F-B2EB-46AB-801F-9B3639346D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eksummary" sheetId="1" r:id="rId1"/>
    <sheet name="result" sheetId="4" r:id="rId2"/>
  </sheets>
  <definedNames>
    <definedName name="_xlnm._FilterDatabase" localSheetId="0" hidden="1">weeksummary!$C$1:$C$106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1" i="1"/>
  <c r="F4" i="4"/>
  <c r="F5" i="4"/>
  <c r="F6" i="4"/>
  <c r="F7" i="4"/>
  <c r="F8" i="4"/>
  <c r="F9" i="4"/>
  <c r="F10" i="4"/>
  <c r="F3" i="4"/>
</calcChain>
</file>

<file path=xl/sharedStrings.xml><?xml version="1.0" encoding="utf-8"?>
<sst xmlns="http://schemas.openxmlformats.org/spreadsheetml/2006/main" count="579" uniqueCount="355">
  <si>
    <t>Week</t>
  </si>
  <si>
    <t>Function</t>
  </si>
  <si>
    <t>Function Description</t>
  </si>
  <si>
    <t>Submitted Query (x)</t>
  </si>
  <si>
    <t>Model's Predicted Value / Acquisition Score</t>
  </si>
  <si>
    <t>Candidate Generator / Surrogate Model</t>
  </si>
  <si>
    <t>Notes</t>
  </si>
  <si>
    <t>Source Notebook</t>
  </si>
  <si>
    <t>GP (Matern ARD) - EI</t>
  </si>
  <si>
    <t>GP (Matern ARD) - UCB</t>
  </si>
  <si>
    <t>[0.803076, 0.431805]</t>
  </si>
  <si>
    <t>mean = -0.000, EI = 0.0000</t>
  </si>
  <si>
    <t>GP (Matern + WhiteKernel, learned) - EI</t>
  </si>
  <si>
    <t>w3-functions-all-added-fidelity-metrics.ipynb</t>
  </si>
  <si>
    <t>[0.660188, 0.329930]</t>
  </si>
  <si>
    <t>mean = 0.249, EI = 0.0047</t>
  </si>
  <si>
    <t>[0.378956, 0.302768, 0.459346]</t>
  </si>
  <si>
    <t>mean = -0.0444, blended EI/poly score = 0.9206</t>
  </si>
  <si>
    <t>GP + Polynomial regression 50/50 blend - EI</t>
  </si>
  <si>
    <t>[0.330258, 0.414348, 0.433728, 0.411341]</t>
  </si>
  <si>
    <t>mean = -1.0708, UCB = 2.5255</t>
  </si>
  <si>
    <t>GP (Matern global vs ARD kernel comparison) - UCB</t>
  </si>
  <si>
    <t>[0.386633, 0.821843, 0.127990, 0.999900]</t>
  </si>
  <si>
    <t>GP mean = 869.9, SVR = 1216.6, EI = 0.5973</t>
  </si>
  <si>
    <t>GP + SVR blend - EI</t>
  </si>
  <si>
    <t>[0.463219, 0.306404, 0.635240, 0.999844, 0.015672]</t>
  </si>
  <si>
    <t>mean = -0.2758, EI = 0.3969</t>
  </si>
  <si>
    <t>GP (Matern ARD) - EI, 17,000 candidates evaluated</t>
  </si>
  <si>
    <t>[0.020000, 0.229271, 0.478526, 0.247457, 0.365999, 0.737383]</t>
  </si>
  <si>
    <t>GP pred (orig scale) = 1.3669</t>
  </si>
  <si>
    <t>RF + SHAP subspace definition, then GP - EI</t>
  </si>
  <si>
    <t>[0.012108, 0.000000, 0.062824, 0.000000, 0.999999, 0.097598, 0.012329, 0.000000]</t>
  </si>
  <si>
    <t>mu = 10.30, UCB = 10.92</t>
  </si>
  <si>
    <t>Two GP variants generated (UCB pick vs Gaussian+SVR pick) - ambiguous final choice</t>
  </si>
  <si>
    <t>Two candidate methods generated (UCB pick and Gaussian+SVR pick); notebook does not confirm which was submitted.</t>
  </si>
  <si>
    <t>[0.045891, 0.837402]</t>
  </si>
  <si>
    <t>mu = -54.09, sigma = 32.95 (no acq. score)</t>
  </si>
  <si>
    <t>GP (Matern, fixed length-scale) - mean/sigma reported, exploratory (no acq. score)</t>
  </si>
  <si>
    <t>w4-functions-all-added-fidelity-metrics.ipynb</t>
  </si>
  <si>
    <t>[0.729589, 0.938148]</t>
  </si>
  <si>
    <t>mean = 0.613, std = 0.068</t>
  </si>
  <si>
    <t>GP (Matern+White, learned kernel) - mean reported near incumbent</t>
  </si>
  <si>
    <t>[0.375610, 0.057061, 0.589980]</t>
  </si>
  <si>
    <t>GP mean = -0.0656, poly = 0.0527</t>
  </si>
  <si>
    <t>GP + Polynomial regression (kernel refit) - EI/UCB mix</t>
  </si>
  <si>
    <t>[0.424125, 0.404716, 0.487507, 0.367688]</t>
  </si>
  <si>
    <t>mean = -0.372, std = 0.681</t>
  </si>
  <si>
    <t>GP (Matern, fixed length-scale) - mean/std reported</t>
  </si>
  <si>
    <t>[0.269378, 0.810637, 0.999999, 0.999999]</t>
  </si>
  <si>
    <t>GP mean = 537.3, SVR = 1219.4, EI = 0.0581</t>
  </si>
  <si>
    <t>[0.344063, 0.007363, 0.627449, 0.999999, 0.004891]</t>
  </si>
  <si>
    <t>mean = -0.462, EI = 0.0466</t>
  </si>
  <si>
    <t>[0.012357, 0.162903, 0.399853, 0.082758, 0.249752, 0.923732]</t>
  </si>
  <si>
    <t>GP mean(log) = 1.217, MLP = 2.692</t>
  </si>
  <si>
    <t>RF + SHAP subspace, MLP vs GP comparison - EI</t>
  </si>
  <si>
    <t>[0.035148, 0.000000, 0.018976, 0.000000, 0.999999, 0.361194, 0.007310, 0.000000]</t>
  </si>
  <si>
    <t>GP mu = 10.28, MLP = 10.48</t>
  </si>
  <si>
    <t>MLP vs GP ensemble comparison - blended pick</t>
  </si>
  <si>
    <t>[0.994654, 0.996067]</t>
  </si>
  <si>
    <t>mu = -50.84, sigma = 33.71</t>
  </si>
  <si>
    <t>w5-functions-all.ipynb</t>
  </si>
  <si>
    <t>[0.685444, 0.332456]</t>
  </si>
  <si>
    <t>mean = 0.480 (feature-importance model)</t>
  </si>
  <si>
    <t>GP + feature-importance analysis - mean-only</t>
  </si>
  <si>
    <t>RF mean = -0.0421</t>
  </si>
  <si>
    <t>Random Forest feature-importance model - mean-only</t>
  </si>
  <si>
    <t>mean = -5.450, std = 5.177</t>
  </si>
  <si>
    <t>GP (repeat of Week 4 candidate; RF cross-check) - mean-only</t>
  </si>
  <si>
    <t>Query identical to Week 4's (RF re-selected the same top candidate).</t>
  </si>
  <si>
    <t>[0.366671, 0.879874, 0.999999, 0.996809]</t>
  </si>
  <si>
    <t>GP = 2527.1, SVR = 2618.4, EI = 0.2023</t>
  </si>
  <si>
    <t>GP + SVR blend (log-scale std) - EI</t>
  </si>
  <si>
    <t>[0.611853, 0.139494, 0.292145, 0.366362, 0.456070]</t>
  </si>
  <si>
    <t>tree mean = -0.7143</t>
  </si>
  <si>
    <t>Random Forest ensemble - mean-only</t>
  </si>
  <si>
    <t>[0.042283, 0.348468, 0.793617, 0.259525, 0.456849, 0.822122]</t>
  </si>
  <si>
    <t>RBF = 1.9435, RF = 1.7869</t>
  </si>
  <si>
    <t>RF feature importance + blended RBF/RF prediction - mean-only</t>
  </si>
  <si>
    <t>[0.040725, 0.748531, 0.178080, 0.981020, 0.988831, 0.993927, 0.013038, 0.216952]</t>
  </si>
  <si>
    <t>MC mu = 9.829, sigma = 0.406, UCB = 11.046</t>
  </si>
  <si>
    <t>Monte-Carlo dropout NN (PyTorch) - UCB</t>
  </si>
  <si>
    <t>[0.411304, 0.240532]</t>
  </si>
  <si>
    <t>mu = -0.0005, sigma = 0.0015</t>
  </si>
  <si>
    <t>GP (Matern, fixed length-scale) - mean/sigma reported, near-incumbent exploitation</t>
  </si>
  <si>
    <t>w6-functions-all.ipynb</t>
  </si>
  <si>
    <t>[0.684233, 0.440152]</t>
  </si>
  <si>
    <t>tree sample = 0.504, ensemble mean = 0.534</t>
  </si>
  <si>
    <t>Bootstrap tree ensemble - sampled/ensemble mean (no acq. score)</t>
  </si>
  <si>
    <t>RF mean = -0.0424</t>
  </si>
  <si>
    <t>Random Forest ensemble - greedy top-10 candidate ranking</t>
  </si>
  <si>
    <t>Query identical to Weeks 3 &amp; 5's top candidate (RF kept re-ranking the same point highest).</t>
  </si>
  <si>
    <t>[0.255396, 0.450674, 0.468413, 0.490566]</t>
  </si>
  <si>
    <t>mean = 0.062, std = 1.001, EI = 0.3282</t>
  </si>
  <si>
    <t>GP + SVM candidate pre-filter - EI</t>
  </si>
  <si>
    <t>[0.495228, 0.809693, 0.999999, 0.999999]</t>
  </si>
  <si>
    <t>GP = 2779.3, SVR = 3353.8, EI = 0.1751</t>
  </si>
  <si>
    <t>GP + SVR blend - top-5 EI candidate ranking</t>
  </si>
  <si>
    <t>[0.362372, 0.287752, 0.659391, 0.946547, 0.011897]</t>
  </si>
  <si>
    <t>mean = -0.7124, std = 0.390, UCB = -0.1275</t>
  </si>
  <si>
    <t>Random Forest ensemble - UCB (kappa=1.5)</t>
  </si>
  <si>
    <t>[0.020000, 0.084621, 0.685564, 0.148317, 0.347709, 0.669559]</t>
  </si>
  <si>
    <t>GP pred = 2.4217</t>
  </si>
  <si>
    <t>RF + SHAP subspace + GP - mean-only</t>
  </si>
  <si>
    <t>[0.060495, 0.027090, 0.006185, 0.132068, 0.160719, 0.354431, 0.001361, 0.931902]</t>
  </si>
  <si>
    <t>MC mu = 9.877, sigma = 0.387, UCB = 10.534</t>
  </si>
  <si>
    <t>MC-dropout NN (calibrated kappa) - UCB</t>
  </si>
  <si>
    <t>[0.658199, 0.549042]</t>
  </si>
  <si>
    <t>mu(log) = -1.34, sigma = 13.52</t>
  </si>
  <si>
    <t>GP (log-reading transform) - mean/sigma reported, exploratory</t>
  </si>
  <si>
    <t>w7-functions-all.ipynb</t>
  </si>
  <si>
    <t>[0.692436, 0.991256]</t>
  </si>
  <si>
    <t>ensemble mean = 0.511, UCB = 0.720</t>
  </si>
  <si>
    <t>Tree ensemble - UCB (kappa=1.5)</t>
  </si>
  <si>
    <t>[0.494932, 0.994690, 0.457121]</t>
  </si>
  <si>
    <t>ensemble mean = -0.0542, UCB = 0.0306</t>
  </si>
  <si>
    <t>RF ensemble - UCB (kappa=1.5)</t>
  </si>
  <si>
    <t>[0.371614, 0.422247, 0.370132, 0.421911]</t>
  </si>
  <si>
    <t>mean = -1.862, EI = 0.0540</t>
  </si>
  <si>
    <t>GP + SVM candidate pre-filter (local+global pools) - EI</t>
  </si>
  <si>
    <t>[0.382122, 0.995456, 0.999999, 0.999999]</t>
  </si>
  <si>
    <t>GP = 3168.0, SVR = 3166.7, EI = 0.1277</t>
  </si>
  <si>
    <t>GP + SVR blend - EI, plus sensitivity checks</t>
  </si>
  <si>
    <t>[0.119239, 0.206322, 0.998767, 0.816254, 0.063518]</t>
  </si>
  <si>
    <t>mean = -0.750, UCB = -0.2263</t>
  </si>
  <si>
    <t>[0.063339, 0.124136, 0.074385, 0.373415, 0.318790, 0.765081]</t>
  </si>
  <si>
    <t>GP pred = 2.2058, UCB(log) = 1.3675</t>
  </si>
  <si>
    <t>RF + SHAP (full+filtered) subspace + GP - UCB</t>
  </si>
  <si>
    <t>[0.000000, 0.009147, 0.046571, 0.113147, 0.150211, 0.340739, 0.038068, 0.928497]</t>
  </si>
  <si>
    <t>MC mu = 9.674, sigma = 0.406, UCB = 10.364</t>
  </si>
  <si>
    <t>MC-dropout NN (LOO calibration) - UCB</t>
  </si>
  <si>
    <t>[0.736438, 0.744550]</t>
  </si>
  <si>
    <t>mu(clipped,log)= -20.19, UCB = -8.77; predicted (linear) = 6.5e-21</t>
  </si>
  <si>
    <t>GP (Matern+White, learned kernel) - UCB (kappa=0.5), 'corrected' query</t>
  </si>
  <si>
    <t>w8-functions-all.ipynb</t>
  </si>
  <si>
    <t>[0.700034, 0.148684]</t>
  </si>
  <si>
    <t>GP mean = 0.660, UCB = 0.668</t>
  </si>
  <si>
    <t>GP (PDP-informed kernel bounds) - UCB (kappa=0.1)</t>
  </si>
  <si>
    <t>[0.398479, 0.316913, 0.467387]</t>
  </si>
  <si>
    <t>ensemble mean = -0.0404, LCB = -0.0533</t>
  </si>
  <si>
    <t>ExtraTrees ensemble - LCB (kappa=0.5)</t>
  </si>
  <si>
    <t>[0.378911, 0.420065, 0.360647, 0.355610]</t>
  </si>
  <si>
    <t>mu = 0.55, sigma = 0.41 (no acq. score)</t>
  </si>
  <si>
    <t>GP (multi-week candidate pooling, LOO R2 model comparison) - mean-only</t>
  </si>
  <si>
    <t>[0.566703, 0.999727, 0.999999, 0.999999]</t>
  </si>
  <si>
    <t>GP = 4298.6, SVR = 4865.5, EI = 0.1533</t>
  </si>
  <si>
    <t>[0.442013, 0.343815, 1.000000, 1.000000, 0.218431]</t>
  </si>
  <si>
    <t>EI = 0.0329 (top of 5 candidates)</t>
  </si>
  <si>
    <t>Hybrid GP+RF blend (56/44 weight) - EI, multi-candidate list</t>
  </si>
  <si>
    <t>5 EI-ranked candidates were proposed; highest-EI candidate used here.</t>
  </si>
  <si>
    <t>[0.002711, 0.256031, 0.238702, 0.111803, 0.341715, 0.769368]</t>
  </si>
  <si>
    <t>GP pred = 2.3466, UCB(log) = 1.3085</t>
  </si>
  <si>
    <t>RF + SHAP two-stage filtering + GP - UCB</t>
  </si>
  <si>
    <t>[0.007786, 0.000000, 0.000000, 0.000000, 0.999999, 0.368073, 0.022080, 0.018153]</t>
  </si>
  <si>
    <t>MC mu = 9.807, sigma = 0.547, UCB = 10.843</t>
  </si>
  <si>
    <t>MC-dropout NN (LOO calibration, refinement+sweep candidate pools) - UCB</t>
  </si>
  <si>
    <t>[0.741223, 0.707813]</t>
  </si>
  <si>
    <t>mu(signed) = 8.60, sigma = 10.81 (alt EI: mu=12.08, sigma=7.84)</t>
  </si>
  <si>
    <t>GP (signed-reading transform, learned kernel) - dual query: main + alternative EI</t>
  </si>
  <si>
    <t>'Corrected' query reported; an alternative EI-leaning query (0.731062, 0.714462) was also generated.</t>
  </si>
  <si>
    <t>w9-functions-all-added-fidelity-metrics.ipynb</t>
  </si>
  <si>
    <t>[0.709997, 0.004026]</t>
  </si>
  <si>
    <t>GP mean = 0.677, score(EI) = 0.014</t>
  </si>
  <si>
    <t>GP (PDP-informed kernel) - multi-strategy compare (exploit_ucb/explore_ei/explore_ucb_highk); explore_ei chosen</t>
  </si>
  <si>
    <t>[0.302950, 0.370366, 0.629419]</t>
  </si>
  <si>
    <t>mu = -0.0949, sigma = 0.0711, UCB = 0.0827</t>
  </si>
  <si>
    <t>RF+GP hybrid - UCB (kappa=2.5) chosen over a separate EI candidate</t>
  </si>
  <si>
    <t>UCB pick used for submission per notebook; a separate EI candidate was generated but explicitly marked 'not chosen'.</t>
  </si>
  <si>
    <t>[0.416714, 0.400385, 0.334493, 0.422238]</t>
  </si>
  <si>
    <t>Option A UCB: mean=0.246,std=0.713; Option B exploit: mean=0.350,std=0.526</t>
  </si>
  <si>
    <t>GP (kernel refit) - two options: UCB (exploratory) vs exploit-leaning pick</t>
  </si>
  <si>
    <t>Two options presented (UCB-exploratory vs exploit-leaning); notebook text does not confirm which was submitted.</t>
  </si>
  <si>
    <t>[0.629172, 0.999999, 0.999999, 0.999999]</t>
  </si>
  <si>
    <t>GP = 4699.2, SVR = 4789.5, EI = 0.0375</t>
  </si>
  <si>
    <t>[0.413741, 0.432049, 0.797573, 0.842822, 0.064421]</t>
  </si>
  <si>
    <t>SVR predicted = -0.3917</t>
  </si>
  <si>
    <t>SVR (grid-searched hyperparameters) - mean-only</t>
  </si>
  <si>
    <t>[0.059517, 0.056546, 0.864985, 0.258438, 0.352116, 0.678089]</t>
  </si>
  <si>
    <t>GP pred = 2.6310, UCB(log) = 1.3703</t>
  </si>
  <si>
    <t>[0.047391, 0.007650, 0.000000, 0.000294, 0.999999, 0.356493, 0.000000, 0.000000]</t>
  </si>
  <si>
    <t>MC mu = 9.773, sigma = 0.443, UCB = 10.578</t>
  </si>
  <si>
    <t>MC-dropout NN (weighted LOO calibration) - UCB</t>
  </si>
  <si>
    <t>[0.718356, 0.714455]</t>
  </si>
  <si>
    <t>mu(signed) = 11.94, sigma = 7.23 (alt EI: mu=14.99, sigma=4.31)</t>
  </si>
  <si>
    <t>GP (signed-reading transform) - repeat of Week 9 method; dual: main + alternative EI</t>
  </si>
  <si>
    <t>'Repeat W9 method' query; an alternative EI-leaning query (0.726491, 0.717589) also generated.</t>
  </si>
  <si>
    <t>w10-functions-all-added-element-wise-metric.ipynb</t>
  </si>
  <si>
    <t>[0.697454, 0.000000]</t>
  </si>
  <si>
    <t>GP mean = 0.668, sigma = 0.0322</t>
  </si>
  <si>
    <t>GP posterior-mean maximisation (exploitation), plus nearby local variant</t>
  </si>
  <si>
    <t>Posterior-mean maximisation query; a nearby 'local' variant (0.697768, 0.08) also generated.</t>
  </si>
  <si>
    <t>[0.371804, 0.301322, 0.451223]</t>
  </si>
  <si>
    <t>pred(orig space) = -0.0277, LCB(kappa=0.3)</t>
  </si>
  <si>
    <t>Random Forest (log-space) - LCB (kappa=0.3, log space)</t>
  </si>
  <si>
    <t>[0.372317, 0.403232, 0.376261, 0.380970]</t>
  </si>
  <si>
    <t>mean = 0.814, std = 0.273, EI = 0.1928</t>
  </si>
  <si>
    <t>GP (multi-week candidate pooling) - EI</t>
  </si>
  <si>
    <t>[0.656411, 1.185597, 1.026548, 1.160768]</t>
  </si>
  <si>
    <t>GP = 10800.7 (log-scale extrapolation; OUT OF BOUNDS), SVR = 5982.2</t>
  </si>
  <si>
    <t>GP + SVR blend - log-scale extrapolation (query fell OUT OF BOUNDS)</t>
  </si>
  <si>
    <t>Query [0.656,1.186,1.027,1.161] falls outside the [0,1] bound on 3 dimensions; flagged as an out-of-bounds/invalid query and excluded from later model fitting.</t>
  </si>
  <si>
    <t>[0.317166, 0.547049, 0.105786, 1.000000, 0.002390]</t>
  </si>
  <si>
    <t>predicted UCB value = 0.2269</t>
  </si>
  <si>
    <t>GP - UCB (global+local candidate pools)</t>
  </si>
  <si>
    <t>GP mean = 2.7510, EI(orig) = 0.0748</t>
  </si>
  <si>
    <t>RF + SHAP filtering + GP (+DotProduct kernel term) - EI</t>
  </si>
  <si>
    <t>This query is identical to the one generated in Week 9 for the same function.</t>
  </si>
  <si>
    <t>[0.071358, 0.056561, 0.038275, 0.129888, 0.740838, 0.572688, 0.045918, 0.708294]</t>
  </si>
  <si>
    <t>MC mu = 9.755, sigma = 0.194, UCB = 10.100</t>
  </si>
  <si>
    <t>MC-dropout NN (weighted calibration) - UCB</t>
  </si>
  <si>
    <t>[0.396491, 0.293437]</t>
  </si>
  <si>
    <t>mu(signed) = 287.2, sigma = 152.1, EI = 59.27</t>
  </si>
  <si>
    <t>GP (signed-score transform) - EI</t>
  </si>
  <si>
    <t>w11-functions-all-added-fidelity-metrics.ipynb</t>
  </si>
  <si>
    <t>[0.697793, 0.540885]</t>
  </si>
  <si>
    <t>GP mean = 0.603, UCB = 0.660</t>
  </si>
  <si>
    <t>GP (wider PDP-derived kernel bounds) - UCB (kappa=1.0)</t>
  </si>
  <si>
    <t>[0.395514, 0.311838, 0.461924]</t>
  </si>
  <si>
    <t>pred(orig space) = -0.0261 (LCB, kappa=0.3)</t>
  </si>
  <si>
    <t>Random Forest (log-space) - LCB (kappa=0.3, log space), same method continuing</t>
  </si>
  <si>
    <t>[0.420876, 0.518558, 0.358976, 0.385896]</t>
  </si>
  <si>
    <t>mean = 1.812, std = 1.154, EI = 1.2369</t>
  </si>
  <si>
    <t>[0.847572, 1.000000, 1.000000, 1.000000]</t>
  </si>
  <si>
    <t>GP = 4865.5, SVR = 4932.2, EI = 0.1632</t>
  </si>
  <si>
    <t>GP + SVR blend - EI (invalid out-of-bounds points excluded from fit)</t>
  </si>
  <si>
    <t>Two historical points, including the Week 10 query, were flagged out-of-bounds and excluded from modelling this week.</t>
  </si>
  <si>
    <t>[0.377923, 0.149075, 0.975196, 0.121707, 0.000000]</t>
  </si>
  <si>
    <t>GP mean = -0.9726, UCB = -0.1521</t>
  </si>
  <si>
    <t>GP - UCB (reverted from SVR after diagnosing SVR overfitting)</t>
  </si>
  <si>
    <t>[0.000000, 0.058944, 0.407235, 0.285037, 0.339090, 0.712563]</t>
  </si>
  <si>
    <t>GP pred = 2.9083, EI(sqrt) = 0.0399 (fixed trust-region method)</t>
  </si>
  <si>
    <t>Trust-region (top-8 points) + continuous multi-start EI (replaces a diagnosed-as-failed 2-stage RF method)</t>
  </si>
  <si>
    <t>Notebook explicitly diagnoses the Week 10 approach as a failure (predicted below record, near-zero EI) and replaces it with a trust-region method before proposing this query.</t>
  </si>
  <si>
    <t>[0.092021, 0.060978, 0.018488, 0.360040, 0.924657, 0.902361, 0.221460, 0.926437]</t>
  </si>
  <si>
    <t>MC mu = 9.837, sigma = 0.216, UCB = 10.211</t>
  </si>
  <si>
    <t>[0.729356, 0.715955]</t>
  </si>
  <si>
    <t>exploit: mu=303.4,sigma=44.9,UCB=312.4; explore alt: mu=279.6,sigma=154.2,EI=56.0</t>
  </si>
  <si>
    <t>GP (learned kernel) - dual: exploit (UCB) query + secondary explore (EI) query</t>
  </si>
  <si>
    <t>Primary 'exploit' query and a secondary 'explore' query were both generated.</t>
  </si>
  <si>
    <t>w12-functions-all-added-fidelity-metrics.ipynb</t>
  </si>
  <si>
    <t>[0.719924, 0.279806]</t>
  </si>
  <si>
    <t>mean = 0.6537, std = 0.0855, EI = 0.0196</t>
  </si>
  <si>
    <t>GP (Matern nu=1.5, learned) - grid-search EI</t>
  </si>
  <si>
    <t>[0.403651, 0.271200, 0.429849]</t>
  </si>
  <si>
    <t>mean = -0.0189, sigma = 0.00116 (local bootstrap-UCB)</t>
  </si>
  <si>
    <t>Local bootstrap-GP model (radius-0.05 basin) - UCB</t>
  </si>
  <si>
    <t>[0.380314, 0.376647, 0.336052, 0.410761]</t>
  </si>
  <si>
    <t>mean = 0.635, std = 0.460, EI = 0.1692, P(exceed max)=47.4%</t>
  </si>
  <si>
    <t>GP (WhiteKernel recalibration) - EI, plus alternate 'pipeline pick'</t>
  </si>
  <si>
    <t>'Recommended' query used here; an alternate 'pipeline pick' candidate was also generated.</t>
  </si>
  <si>
    <t>[1.000000, 1.000000, 1.000000, 1.000000]</t>
  </si>
  <si>
    <t>GP = 6943.75 (SVR = 6923.0) at [0.977,1,1,1] candidate; final submitted corner [1,1,1,1]</t>
  </si>
  <si>
    <t>GP + SVR blend - near-corner exploitation</t>
  </si>
  <si>
    <t>GP/SVR evaluated a near-corner candidate [0.977,1,1,1]; final submitted point was the exact corner [1,1,1,1].</t>
  </si>
  <si>
    <t>[0.252982, 0.423855, 0.481603, 0.980599, 0.000000]</t>
  </si>
  <si>
    <t>mean = -0.5256, std = 0.1758, EI = 0.0115, P(beat incumbent)=14.3%</t>
  </si>
  <si>
    <t>GP + bootstrap-calibrated std - EI</t>
  </si>
  <si>
    <t>[0.029986, 0.112119, 0.405753, 0.285528, 0.341381, 0.694030]</t>
  </si>
  <si>
    <t>mean = 2.6544, sigma = 0.2617, EI = 0.0246</t>
  </si>
  <si>
    <t>Model bake-off (RF/ExtraTrees/GBR/GP/SVR) + region-pooled candidates - EI</t>
  </si>
  <si>
    <t>[0.003289, 0.061686, 0.133145, 0.023473, 0.739835, 0.834983, 0.001894, 0.599951]</t>
  </si>
  <si>
    <t>MC mu = 9.892, sigma = 0.179, UCB = 10.061</t>
  </si>
  <si>
    <t>[0.707750, 0.703848]</t>
  </si>
  <si>
    <t>GP point estimate y~1.03e-09 (pure exploitation, local ascent)</t>
  </si>
  <si>
    <t>GP local-linear/quadratic ascent around incumbent - pure exploitation (final week)</t>
  </si>
  <si>
    <t>Final week: pure-exploitation local ascent search around the incumbent.</t>
  </si>
  <si>
    <t>w13-functions-all-added-fidelity-metrics.ipynb</t>
  </si>
  <si>
    <t>[0.700020, 0.260148]</t>
  </si>
  <si>
    <t>predicted mean = 0.6397 (pure exploitation)</t>
  </si>
  <si>
    <t>GP - pure exploitation / posterior-mean maximisation (final week)</t>
  </si>
  <si>
    <t>Final week: pure-exploitation search; GP's WhiteKernel treats part of the observed record as noise, so predicted mean sits below the raw incumbent value.</t>
  </si>
  <si>
    <t>[0.422378, 0.269491, 0.411072]</t>
  </si>
  <si>
    <t>predicted mean = -0.02282 (+/-0.0024)</t>
  </si>
  <si>
    <t>Local surrogate mean - pure exploitation (final week)</t>
  </si>
  <si>
    <t>Final week: pure-exploitation local surrogate search (8-point basin, radius 0.15).</t>
  </si>
  <si>
    <t>[0.401420, 0.383210, 0.356729, 0.411328]</t>
  </si>
  <si>
    <t>predicted mean = 0.4999, std = 0.4427</t>
  </si>
  <si>
    <t>GP (best kernel via LOO R2 sweep) - pure exploitation (final week)</t>
  </si>
  <si>
    <t>Final week: pure-exploitation search using the best kernel selected via LOO R^2 sweep.</t>
  </si>
  <si>
    <t>GP = 8575.95, SVR = 8443.07 (predicted beyond incumbent)</t>
  </si>
  <si>
    <t>GP + SVR blend - pure exploitation at domain corner (final week)</t>
  </si>
  <si>
    <t>Final week: pure exploitation at the domain corner; predicted to exceed incumbent by the model.</t>
  </si>
  <si>
    <t>[0.519654, 0.316562, 0.598493, 0.870191, 0.000000]</t>
  </si>
  <si>
    <t>GP mean = -0.2978, std = 0.0304</t>
  </si>
  <si>
    <t>GP (ARD, refit) - pure exploitation (final week)</t>
  </si>
  <si>
    <t>Final week: pure-exploitation search.</t>
  </si>
  <si>
    <t>[0.074530, 0.133346, 0.397044, 0.268743, 0.336350, 0.682050]</t>
  </si>
  <si>
    <t>predicted output = 2.9195</t>
  </si>
  <si>
    <t>Best model via LOOCV (GP selected) - pure exploitation (final week)</t>
  </si>
  <si>
    <t>Final week: pure-exploitation search; GP selected as best model via LOOCV comparison.</t>
  </si>
  <si>
    <t>[0.109550, 0.169020, 0.139072, 0.163982, 0.824916, 0.495502, 0.186827, 0.858294]</t>
  </si>
  <si>
    <t>predicted output = 10.0054 (+/- 0.028 GP std)</t>
  </si>
  <si>
    <t>GP - pure exploitation (final week)</t>
  </si>
  <si>
    <t>Final week (also final query of the whole project): pure exploitation.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</si>
  <si>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</si>
  <si>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</si>
  <si>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</si>
  <si>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</si>
  <si>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</si>
  <si>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</si>
  <si>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</si>
  <si>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</si>
  <si>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</si>
  <si>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</si>
  <si>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</si>
  <si>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</si>
  <si>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</si>
  <si>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Actual Output per Function, by Week</t>
  </si>
  <si>
    <t>Archetype</t>
  </si>
  <si>
    <t>Radiation field (2D, 10 initial samples, hairline_spike)</t>
  </si>
  <si>
    <t>Noisy log-likelihood field (2D, 10 initial samples, rising_edge)</t>
  </si>
  <si>
    <t>Drug discovery project (3D, 15 initial samples, corner_lock)</t>
  </si>
  <si>
    <t>Warehouse business (4D, 30 initial samples, hidden_bowl)</t>
  </si>
  <si>
    <t>Chemical process in a factory (4D, 20 initial samples, edge_surge)</t>
  </si>
  <si>
    <t>Cake recipe (5D, 20 initial samples, noise_ceiling)</t>
  </si>
  <si>
    <t>Unspecified field (8D, 40 initial samples, deep_lock)</t>
  </si>
  <si>
    <t>n/a</t>
  </si>
  <si>
    <t>manually worked</t>
  </si>
  <si>
    <t>[7.50E-01, 7.50E-01]</t>
  </si>
  <si>
    <t>[1.053349, 0.934354]</t>
  </si>
  <si>
    <t>[0.540087, 0.652622, 0.079307]</t>
  </si>
  <si>
    <t>[0.149845, 0.155724, 0.461280, 0.344491]</t>
  </si>
  <si>
    <t>[0.417098, 0.756030, 0.129487, 1.149173]</t>
  </si>
  <si>
    <t>[0.939456, 0.643603, 0.531941, 1.031640, 0.012391]</t>
  </si>
  <si>
    <t>[0.079933, 0.633654, 0.734486, 0.864915, 0.103811, 0.933346]</t>
  </si>
  <si>
    <t>[0.034736, 0.033935, 0.577646, 0.735810, 0.807192, 0.026536, 0.721780, 0.629862</t>
  </si>
  <si>
    <t>n/a, revisited via tutorial</t>
  </si>
  <si>
    <t>w1-functions-all.ipynb and w2-functions-all.ipynb</t>
  </si>
  <si>
    <t>EDA</t>
  </si>
  <si>
    <t>Tuning six hyperparameters (6D, 30 initial samples, ghost_spike)</t>
  </si>
  <si>
    <t>Dimension</t>
  </si>
  <si>
    <t>Initial Sample</t>
  </si>
  <si>
    <t>Radiation field</t>
  </si>
  <si>
    <t>Noisy log-likelihood field</t>
  </si>
  <si>
    <t>Drug discovery project</t>
  </si>
  <si>
    <t>Warehouse business</t>
  </si>
  <si>
    <t>Chemical process in a factory</t>
  </si>
  <si>
    <t>Cake recipe</t>
  </si>
  <si>
    <t>Tuning six hyperparameters</t>
  </si>
  <si>
    <t>Unspecified field</t>
  </si>
  <si>
    <t>Hairline_spike</t>
  </si>
  <si>
    <t>Rising_edge</t>
  </si>
  <si>
    <t>Corner_lock</t>
  </si>
  <si>
    <t>Hidden_bowl</t>
  </si>
  <si>
    <t>Edge_surge</t>
  </si>
  <si>
    <t>Noise_ceiling</t>
  </si>
  <si>
    <t>Ghost_spike</t>
  </si>
  <si>
    <t>Deep_lock</t>
  </si>
  <si>
    <t>Final Sample</t>
  </si>
  <si>
    <t>Initial Best</t>
  </si>
  <si>
    <t>BBO Best</t>
  </si>
  <si>
    <t>Leaderboard</t>
  </si>
  <si>
    <t>Weekly Black-Box Optimisation Submission Summary  (Functions 1-8, Weeks 1-13)</t>
  </si>
  <si>
    <t>Returned Actual Output</t>
  </si>
  <si>
    <t>Initial Best Output</t>
  </si>
  <si>
    <t>Actual Output Above Initial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</si>
</sst>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E+0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11" fontId="0" fillId="0" borderId="0" xfId="0" applyNumberFormat="1"/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3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1" fillId="0" borderId="2" xfId="0" applyFont="1" applyBorder="1" applyAlignment="1">
      <alignment horizontal="left"/>
    </xf>
    <xf numFmtId="11" fontId="0" fillId="0" borderId="0" xfId="0" applyNumberFormat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zoomScale="80" zoomScaleNormal="80" workbookViewId="0">
      <pane ySplit="2" topLeftCell="A3" activePane="bottomLeft" state="frozen"/>
      <selection pane="bottomLeft" activeCell="E26" sqref="E26"/>
    </sheetView>
  </sheetViews>
  <sheetFormatPr defaultRowHeight="14.4" x14ac:dyDescent="0.3"/>
  <cols>
    <col min="1" max="1" width="6" customWidth="1"/>
    <col min="2" max="2" width="11.109375" customWidth="1"/>
    <col min="3" max="3" width="54.5546875" customWidth="1"/>
    <col min="4" max="4" width="34" customWidth="1"/>
    <col min="5" max="5" width="38" customWidth="1"/>
    <col min="6" max="6" width="21.21875" customWidth="1"/>
    <col min="7" max="8" width="25.44140625" customWidth="1"/>
    <col min="9" max="9" width="42" customWidth="1"/>
    <col min="10" max="10" width="22.5546875" customWidth="1"/>
    <col min="11" max="11" width="34" customWidth="1"/>
  </cols>
  <sheetData>
    <row r="1" spans="1:11" ht="17.399999999999999" x14ac:dyDescent="0.3">
      <c r="A1" s="21" t="s">
        <v>351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42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0" t="s">
        <v>352</v>
      </c>
      <c r="G2" s="1" t="s">
        <v>353</v>
      </c>
      <c r="H2" s="1" t="s">
        <v>354</v>
      </c>
      <c r="I2" s="1" t="s">
        <v>5</v>
      </c>
      <c r="J2" s="1" t="s">
        <v>6</v>
      </c>
      <c r="K2" s="1" t="s">
        <v>7</v>
      </c>
    </row>
    <row r="3" spans="1:11" ht="26.4" x14ac:dyDescent="0.3">
      <c r="A3" s="2">
        <v>1</v>
      </c>
      <c r="B3" s="2">
        <v>1</v>
      </c>
      <c r="C3" s="8" t="s">
        <v>308</v>
      </c>
      <c r="D3" s="3"/>
      <c r="E3" s="3"/>
      <c r="F3" s="19"/>
      <c r="G3" s="17">
        <v>7.6999999999999999E-16</v>
      </c>
      <c r="H3" s="11"/>
      <c r="I3" s="3"/>
      <c r="J3" s="9" t="s">
        <v>325</v>
      </c>
      <c r="K3" s="8" t="s">
        <v>326</v>
      </c>
    </row>
    <row r="4" spans="1:11" ht="26.4" x14ac:dyDescent="0.3">
      <c r="A4" s="2">
        <v>1</v>
      </c>
      <c r="B4" s="2">
        <v>2</v>
      </c>
      <c r="C4" s="8" t="s">
        <v>309</v>
      </c>
      <c r="D4" s="3"/>
      <c r="E4" s="3"/>
      <c r="F4" s="19"/>
      <c r="G4" s="18">
        <v>0.611205</v>
      </c>
      <c r="H4" s="5"/>
      <c r="I4" s="3"/>
      <c r="J4" s="9" t="s">
        <v>325</v>
      </c>
      <c r="K4" s="8" t="s">
        <v>326</v>
      </c>
    </row>
    <row r="5" spans="1:11" ht="26.4" x14ac:dyDescent="0.3">
      <c r="A5" s="2">
        <v>1</v>
      </c>
      <c r="B5" s="2">
        <v>3</v>
      </c>
      <c r="C5" s="8" t="s">
        <v>310</v>
      </c>
      <c r="D5" s="3"/>
      <c r="E5" s="3"/>
      <c r="F5" s="19"/>
      <c r="G5" s="18">
        <v>-3.4834999999999998E-2</v>
      </c>
      <c r="H5" s="5"/>
      <c r="I5" s="3"/>
      <c r="J5" s="9" t="s">
        <v>325</v>
      </c>
      <c r="K5" s="8" t="s">
        <v>326</v>
      </c>
    </row>
    <row r="6" spans="1:11" ht="26.4" x14ac:dyDescent="0.3">
      <c r="A6" s="2">
        <v>1</v>
      </c>
      <c r="B6" s="2">
        <v>4</v>
      </c>
      <c r="C6" s="8" t="s">
        <v>311</v>
      </c>
      <c r="D6" s="3"/>
      <c r="E6" s="3"/>
      <c r="F6" s="19"/>
      <c r="G6" s="18">
        <v>-4.0255419999999997</v>
      </c>
      <c r="H6" s="5"/>
      <c r="I6" s="3"/>
      <c r="J6" s="9" t="s">
        <v>325</v>
      </c>
      <c r="K6" s="8" t="s">
        <v>326</v>
      </c>
    </row>
    <row r="7" spans="1:11" ht="26.4" x14ac:dyDescent="0.3">
      <c r="A7" s="2">
        <v>1</v>
      </c>
      <c r="B7" s="2">
        <v>5</v>
      </c>
      <c r="C7" s="8" t="s">
        <v>312</v>
      </c>
      <c r="D7" s="3"/>
      <c r="E7" s="3"/>
      <c r="F7" s="19"/>
      <c r="G7" s="18">
        <v>1088.859618</v>
      </c>
      <c r="H7" s="5"/>
      <c r="I7" s="3"/>
      <c r="J7" s="9" t="s">
        <v>325</v>
      </c>
      <c r="K7" s="8" t="s">
        <v>326</v>
      </c>
    </row>
    <row r="8" spans="1:11" ht="26.4" x14ac:dyDescent="0.3">
      <c r="A8" s="2">
        <v>1</v>
      </c>
      <c r="B8" s="2">
        <v>6</v>
      </c>
      <c r="C8" s="8" t="s">
        <v>313</v>
      </c>
      <c r="D8" s="3"/>
      <c r="E8" s="3"/>
      <c r="F8" s="19"/>
      <c r="G8" s="18">
        <v>-0.71426500000000004</v>
      </c>
      <c r="H8" s="5"/>
      <c r="I8" s="3"/>
      <c r="J8" s="9" t="s">
        <v>325</v>
      </c>
      <c r="K8" s="8" t="s">
        <v>326</v>
      </c>
    </row>
    <row r="9" spans="1:11" ht="26.4" x14ac:dyDescent="0.3">
      <c r="A9" s="2">
        <v>1</v>
      </c>
      <c r="B9" s="2">
        <v>7</v>
      </c>
      <c r="C9" s="8" t="s">
        <v>328</v>
      </c>
      <c r="D9" s="3"/>
      <c r="E9" s="3"/>
      <c r="F9" s="19"/>
      <c r="G9" s="18">
        <v>1.364968</v>
      </c>
      <c r="H9" s="5"/>
      <c r="I9" s="3"/>
      <c r="J9" s="9" t="s">
        <v>325</v>
      </c>
      <c r="K9" s="8" t="s">
        <v>326</v>
      </c>
    </row>
    <row r="10" spans="1:11" ht="26.4" x14ac:dyDescent="0.3">
      <c r="A10" s="2">
        <v>1</v>
      </c>
      <c r="B10" s="2">
        <v>8</v>
      </c>
      <c r="C10" s="8" t="s">
        <v>314</v>
      </c>
      <c r="D10" s="3"/>
      <c r="E10" s="3"/>
      <c r="F10" s="19"/>
      <c r="G10" s="18">
        <v>9.5984820000000006</v>
      </c>
      <c r="H10" s="5"/>
      <c r="I10" s="3"/>
      <c r="J10" s="9" t="s">
        <v>325</v>
      </c>
      <c r="K10" s="8" t="s">
        <v>326</v>
      </c>
    </row>
    <row r="11" spans="1:11" x14ac:dyDescent="0.3">
      <c r="A11" s="2">
        <v>2</v>
      </c>
      <c r="B11" s="2">
        <v>1</v>
      </c>
      <c r="C11" s="8" t="s">
        <v>308</v>
      </c>
      <c r="D11" s="3" t="s">
        <v>317</v>
      </c>
      <c r="E11" s="3"/>
      <c r="F11" s="12">
        <v>1.33191455092814E-22</v>
      </c>
      <c r="G11" s="17">
        <v>7.6999999999999999E-16</v>
      </c>
      <c r="H11" s="24" t="str">
        <f>IF(F11&gt;G11, "YES", "NO")</f>
        <v>NO</v>
      </c>
      <c r="I11" s="3"/>
      <c r="J11" s="9" t="s">
        <v>316</v>
      </c>
      <c r="K11" s="8" t="s">
        <v>327</v>
      </c>
    </row>
    <row r="12" spans="1:11" x14ac:dyDescent="0.3">
      <c r="A12" s="2">
        <v>2</v>
      </c>
      <c r="B12" s="2">
        <v>2</v>
      </c>
      <c r="C12" s="8" t="s">
        <v>309</v>
      </c>
      <c r="D12" s="3" t="s">
        <v>318</v>
      </c>
      <c r="E12" s="3"/>
      <c r="F12" s="26">
        <v>-4.06515001086925E-2</v>
      </c>
      <c r="G12" s="18">
        <v>0.611205</v>
      </c>
      <c r="H12" s="24" t="str">
        <f>IF(F12&gt;G12, "YES", "NO")</f>
        <v>NO</v>
      </c>
      <c r="I12" s="3"/>
      <c r="J12" s="9" t="s">
        <v>316</v>
      </c>
      <c r="K12" s="8" t="s">
        <v>327</v>
      </c>
    </row>
    <row r="13" spans="1:11" x14ac:dyDescent="0.3">
      <c r="A13" s="2">
        <v>2</v>
      </c>
      <c r="B13" s="2">
        <v>3</v>
      </c>
      <c r="C13" s="8" t="s">
        <v>310</v>
      </c>
      <c r="D13" s="3" t="s">
        <v>319</v>
      </c>
      <c r="E13" s="3"/>
      <c r="F13" s="26">
        <v>-5.0614721289941197E-2</v>
      </c>
      <c r="G13" s="18">
        <v>-3.4834999999999998E-2</v>
      </c>
      <c r="H13" s="24" t="str">
        <f>IF(F13&gt;G13, "YES", "NO")</f>
        <v>NO</v>
      </c>
      <c r="I13" s="3"/>
      <c r="J13" s="9" t="s">
        <v>316</v>
      </c>
      <c r="K13" s="8" t="s">
        <v>327</v>
      </c>
    </row>
    <row r="14" spans="1:11" ht="26.4" x14ac:dyDescent="0.3">
      <c r="A14" s="2">
        <v>2</v>
      </c>
      <c r="B14" s="2">
        <v>4</v>
      </c>
      <c r="C14" s="8" t="s">
        <v>311</v>
      </c>
      <c r="D14" s="8" t="s">
        <v>320</v>
      </c>
      <c r="E14" s="3"/>
      <c r="F14" s="26">
        <v>-7.1321248299912199</v>
      </c>
      <c r="G14" s="18">
        <v>-4.0255419999999997</v>
      </c>
      <c r="H14" s="24" t="str">
        <f>IF(F14&gt;G14, "YES", "NO")</f>
        <v>NO</v>
      </c>
      <c r="I14" s="3"/>
      <c r="J14" s="9" t="s">
        <v>316</v>
      </c>
      <c r="K14" s="8" t="s">
        <v>327</v>
      </c>
    </row>
    <row r="15" spans="1:11" ht="26.4" x14ac:dyDescent="0.3">
      <c r="A15" s="2">
        <v>2</v>
      </c>
      <c r="B15" s="2">
        <v>5</v>
      </c>
      <c r="C15" s="8" t="s">
        <v>312</v>
      </c>
      <c r="D15" s="8" t="s">
        <v>321</v>
      </c>
      <c r="E15" s="3"/>
      <c r="F15" s="26">
        <v>1829.8098754788</v>
      </c>
      <c r="G15" s="18">
        <v>1088.859618</v>
      </c>
      <c r="H15" s="25" t="str">
        <f>IF(F15&gt;G15, "YES", "NO")</f>
        <v>YES</v>
      </c>
      <c r="I15" s="3"/>
      <c r="J15" s="9" t="s">
        <v>316</v>
      </c>
      <c r="K15" s="8" t="s">
        <v>327</v>
      </c>
    </row>
    <row r="16" spans="1:11" ht="26.4" x14ac:dyDescent="0.3">
      <c r="A16" s="2">
        <v>2</v>
      </c>
      <c r="B16" s="2">
        <v>6</v>
      </c>
      <c r="C16" s="8" t="s">
        <v>313</v>
      </c>
      <c r="D16" s="8" t="s">
        <v>322</v>
      </c>
      <c r="E16" s="3"/>
      <c r="F16" s="26">
        <v>-1.24194611523558</v>
      </c>
      <c r="G16" s="18">
        <v>-0.71426500000000004</v>
      </c>
      <c r="H16" s="24" t="str">
        <f>IF(F16&gt;G16, "YES", "NO")</f>
        <v>NO</v>
      </c>
      <c r="I16" s="3"/>
      <c r="J16" s="9" t="s">
        <v>316</v>
      </c>
      <c r="K16" s="8" t="s">
        <v>327</v>
      </c>
    </row>
    <row r="17" spans="1:11" ht="26.4" x14ac:dyDescent="0.3">
      <c r="A17" s="2">
        <v>2</v>
      </c>
      <c r="B17" s="2">
        <v>7</v>
      </c>
      <c r="C17" s="8" t="s">
        <v>328</v>
      </c>
      <c r="D17" s="8" t="s">
        <v>323</v>
      </c>
      <c r="E17" s="3"/>
      <c r="F17" s="26">
        <v>0.59279407706388199</v>
      </c>
      <c r="G17" s="18">
        <v>1.364968</v>
      </c>
      <c r="H17" s="24" t="str">
        <f>IF(F17&gt;G17, "YES", "NO")</f>
        <v>NO</v>
      </c>
      <c r="I17" s="3"/>
      <c r="J17" s="9" t="s">
        <v>316</v>
      </c>
      <c r="K17" s="8" t="s">
        <v>327</v>
      </c>
    </row>
    <row r="18" spans="1:11" ht="39.6" x14ac:dyDescent="0.3">
      <c r="A18" s="2">
        <v>2</v>
      </c>
      <c r="B18" s="2">
        <v>8</v>
      </c>
      <c r="C18" s="8" t="s">
        <v>314</v>
      </c>
      <c r="D18" s="8" t="s">
        <v>324</v>
      </c>
      <c r="E18" s="3"/>
      <c r="F18" s="26">
        <v>8.2648840239025994</v>
      </c>
      <c r="G18" s="18">
        <v>9.5984820000000006</v>
      </c>
      <c r="H18" s="24" t="str">
        <f>IF(F18&gt;G18, "YES", "NO")</f>
        <v>NO</v>
      </c>
      <c r="I18" s="3"/>
      <c r="J18" s="9" t="s">
        <v>316</v>
      </c>
      <c r="K18" s="8" t="s">
        <v>327</v>
      </c>
    </row>
    <row r="19" spans="1:11" ht="26.4" x14ac:dyDescent="0.3">
      <c r="A19" s="2">
        <v>3</v>
      </c>
      <c r="B19" s="2">
        <v>1</v>
      </c>
      <c r="C19" s="8" t="s">
        <v>308</v>
      </c>
      <c r="D19" s="3" t="s">
        <v>10</v>
      </c>
      <c r="E19" s="3" t="s">
        <v>11</v>
      </c>
      <c r="F19" s="12">
        <v>2.0399999999999999E-50</v>
      </c>
      <c r="G19" s="17">
        <v>7.6999999999999999E-16</v>
      </c>
      <c r="H19" s="24" t="str">
        <f>IF(F19&gt;G19, "YES", "NO")</f>
        <v>NO</v>
      </c>
      <c r="I19" s="3" t="s">
        <v>12</v>
      </c>
      <c r="J19" s="3"/>
      <c r="K19" s="3" t="s">
        <v>13</v>
      </c>
    </row>
    <row r="20" spans="1:11" ht="26.4" x14ac:dyDescent="0.3">
      <c r="A20" s="2">
        <v>3</v>
      </c>
      <c r="B20" s="2">
        <v>2</v>
      </c>
      <c r="C20" s="8" t="s">
        <v>309</v>
      </c>
      <c r="D20" s="3" t="s">
        <v>14</v>
      </c>
      <c r="E20" s="3" t="s">
        <v>15</v>
      </c>
      <c r="F20" s="26">
        <v>0.46874170500000001</v>
      </c>
      <c r="G20" s="18">
        <v>0.611205</v>
      </c>
      <c r="H20" s="24" t="str">
        <f>IF(F20&gt;G20, "YES", "NO")</f>
        <v>NO</v>
      </c>
      <c r="I20" s="3" t="s">
        <v>9</v>
      </c>
      <c r="J20" s="3"/>
      <c r="K20" s="3" t="s">
        <v>13</v>
      </c>
    </row>
    <row r="21" spans="1:11" ht="26.4" x14ac:dyDescent="0.3">
      <c r="A21" s="2">
        <v>3</v>
      </c>
      <c r="B21" s="2">
        <v>3</v>
      </c>
      <c r="C21" s="8" t="s">
        <v>310</v>
      </c>
      <c r="D21" s="3" t="s">
        <v>16</v>
      </c>
      <c r="E21" s="3" t="s">
        <v>17</v>
      </c>
      <c r="F21" s="26">
        <v>-1.9508020000000001E-2</v>
      </c>
      <c r="G21" s="18">
        <v>-3.4834999999999998E-2</v>
      </c>
      <c r="H21" s="25" t="str">
        <f>IF(F21&gt;G21, "YES", "NO")</f>
        <v>YES</v>
      </c>
      <c r="I21" s="3" t="s">
        <v>18</v>
      </c>
      <c r="J21" s="3"/>
      <c r="K21" s="3" t="s">
        <v>13</v>
      </c>
    </row>
    <row r="22" spans="1:11" ht="26.4" x14ac:dyDescent="0.3">
      <c r="A22" s="2">
        <v>3</v>
      </c>
      <c r="B22" s="2">
        <v>4</v>
      </c>
      <c r="C22" s="8" t="s">
        <v>311</v>
      </c>
      <c r="D22" s="3" t="s">
        <v>19</v>
      </c>
      <c r="E22" s="3" t="s">
        <v>20</v>
      </c>
      <c r="F22" s="26">
        <v>0.20379356000000001</v>
      </c>
      <c r="G22" s="18">
        <v>-4.0255419999999997</v>
      </c>
      <c r="H22" s="25" t="str">
        <f>IF(F22&gt;G22, "YES", "NO")</f>
        <v>YES</v>
      </c>
      <c r="I22" s="3" t="s">
        <v>21</v>
      </c>
      <c r="J22" s="3"/>
      <c r="K22" s="3" t="s">
        <v>13</v>
      </c>
    </row>
    <row r="23" spans="1:11" ht="26.4" x14ac:dyDescent="0.3">
      <c r="A23" s="2">
        <v>3</v>
      </c>
      <c r="B23" s="2">
        <v>5</v>
      </c>
      <c r="C23" s="8" t="s">
        <v>312</v>
      </c>
      <c r="D23" s="3" t="s">
        <v>22</v>
      </c>
      <c r="E23" s="3" t="s">
        <v>23</v>
      </c>
      <c r="F23" s="26">
        <v>710.60225060000005</v>
      </c>
      <c r="G23" s="18">
        <v>1088.859618</v>
      </c>
      <c r="H23" s="24" t="str">
        <f>IF(F23&gt;G23, "YES", "NO")</f>
        <v>NO</v>
      </c>
      <c r="I23" s="3" t="s">
        <v>24</v>
      </c>
      <c r="J23" s="3"/>
      <c r="K23" s="3" t="s">
        <v>13</v>
      </c>
    </row>
    <row r="24" spans="1:11" ht="26.4" x14ac:dyDescent="0.3">
      <c r="A24" s="2">
        <v>3</v>
      </c>
      <c r="B24" s="2">
        <v>6</v>
      </c>
      <c r="C24" s="8" t="s">
        <v>313</v>
      </c>
      <c r="D24" s="3" t="s">
        <v>25</v>
      </c>
      <c r="E24" s="3" t="s">
        <v>26</v>
      </c>
      <c r="F24" s="26">
        <v>-0.352944867</v>
      </c>
      <c r="G24" s="18">
        <v>-0.71426500000000004</v>
      </c>
      <c r="H24" s="25" t="str">
        <f>IF(F24&gt;G24, "YES", "NO")</f>
        <v>YES</v>
      </c>
      <c r="I24" s="3" t="s">
        <v>27</v>
      </c>
      <c r="J24" s="3"/>
      <c r="K24" s="3" t="s">
        <v>13</v>
      </c>
    </row>
    <row r="25" spans="1:11" ht="26.4" x14ac:dyDescent="0.3">
      <c r="A25" s="2">
        <v>3</v>
      </c>
      <c r="B25" s="2">
        <v>7</v>
      </c>
      <c r="C25" s="8" t="s">
        <v>328</v>
      </c>
      <c r="D25" s="3" t="s">
        <v>28</v>
      </c>
      <c r="E25" s="3" t="s">
        <v>29</v>
      </c>
      <c r="F25" s="26">
        <v>2.5947984220000002</v>
      </c>
      <c r="G25" s="18">
        <v>1.364968</v>
      </c>
      <c r="H25" s="25" t="str">
        <f>IF(F25&gt;G25, "YES", "NO")</f>
        <v>YES</v>
      </c>
      <c r="I25" s="3" t="s">
        <v>30</v>
      </c>
      <c r="J25" s="3"/>
      <c r="K25" s="3" t="s">
        <v>13</v>
      </c>
    </row>
    <row r="26" spans="1:11" ht="79.2" x14ac:dyDescent="0.3">
      <c r="A26" s="2">
        <v>3</v>
      </c>
      <c r="B26" s="2">
        <v>8</v>
      </c>
      <c r="C26" s="8" t="s">
        <v>314</v>
      </c>
      <c r="D26" s="3" t="s">
        <v>31</v>
      </c>
      <c r="E26" s="3" t="s">
        <v>32</v>
      </c>
      <c r="F26" s="26">
        <v>7.3509853559999998</v>
      </c>
      <c r="G26" s="18">
        <v>9.5984820000000006</v>
      </c>
      <c r="H26" s="24" t="str">
        <f>IF(F26&gt;G26, "YES", "NO")</f>
        <v>NO</v>
      </c>
      <c r="I26" s="3" t="s">
        <v>33</v>
      </c>
      <c r="J26" s="3" t="s">
        <v>34</v>
      </c>
      <c r="K26" s="3" t="s">
        <v>13</v>
      </c>
    </row>
    <row r="27" spans="1:11" ht="26.4" x14ac:dyDescent="0.3">
      <c r="A27" s="2">
        <v>4</v>
      </c>
      <c r="B27" s="2">
        <v>1</v>
      </c>
      <c r="C27" s="8" t="s">
        <v>308</v>
      </c>
      <c r="D27" s="3" t="s">
        <v>35</v>
      </c>
      <c r="E27" s="3" t="s">
        <v>36</v>
      </c>
      <c r="F27" s="12">
        <v>-3.8906491001027099E-8</v>
      </c>
      <c r="G27" s="17">
        <v>7.6999999999999999E-16</v>
      </c>
      <c r="H27" s="24" t="str">
        <f>IF(F27&gt;G27, "YES", "NO")</f>
        <v>NO</v>
      </c>
      <c r="I27" s="3" t="s">
        <v>37</v>
      </c>
      <c r="J27" s="3"/>
      <c r="K27" s="3" t="s">
        <v>38</v>
      </c>
    </row>
    <row r="28" spans="1:11" ht="26.4" x14ac:dyDescent="0.3">
      <c r="A28" s="2">
        <v>4</v>
      </c>
      <c r="B28" s="2">
        <v>2</v>
      </c>
      <c r="C28" s="8" t="s">
        <v>309</v>
      </c>
      <c r="D28" s="3" t="s">
        <v>39</v>
      </c>
      <c r="E28" s="3" t="s">
        <v>40</v>
      </c>
      <c r="F28" s="26">
        <v>0.487563380234947</v>
      </c>
      <c r="G28" s="18">
        <v>0.611205</v>
      </c>
      <c r="H28" s="24" t="str">
        <f>IF(F28&gt;G28, "YES", "NO")</f>
        <v>NO</v>
      </c>
      <c r="I28" s="3" t="s">
        <v>41</v>
      </c>
      <c r="J28" s="3"/>
      <c r="K28" s="3" t="s">
        <v>38</v>
      </c>
    </row>
    <row r="29" spans="1:11" ht="26.4" x14ac:dyDescent="0.3">
      <c r="A29" s="2">
        <v>4</v>
      </c>
      <c r="B29" s="2">
        <v>3</v>
      </c>
      <c r="C29" s="8" t="s">
        <v>310</v>
      </c>
      <c r="D29" s="3" t="s">
        <v>42</v>
      </c>
      <c r="E29" s="3" t="s">
        <v>43</v>
      </c>
      <c r="F29" s="26">
        <v>-0.119425055304959</v>
      </c>
      <c r="G29" s="18">
        <v>-3.4834999999999998E-2</v>
      </c>
      <c r="H29" s="24" t="str">
        <f>IF(F29&gt;G29, "YES", "NO")</f>
        <v>NO</v>
      </c>
      <c r="I29" s="3" t="s">
        <v>44</v>
      </c>
      <c r="J29" s="3"/>
      <c r="K29" s="3" t="s">
        <v>38</v>
      </c>
    </row>
    <row r="30" spans="1:11" ht="26.4" x14ac:dyDescent="0.3">
      <c r="A30" s="2">
        <v>4</v>
      </c>
      <c r="B30" s="2">
        <v>4</v>
      </c>
      <c r="C30" s="8" t="s">
        <v>311</v>
      </c>
      <c r="D30" s="3" t="s">
        <v>45</v>
      </c>
      <c r="E30" s="3" t="s">
        <v>46</v>
      </c>
      <c r="F30" s="26">
        <v>-0.99159507701166605</v>
      </c>
      <c r="G30" s="18">
        <v>-4.0255419999999997</v>
      </c>
      <c r="H30" s="25" t="str">
        <f>IF(F30&gt;G30, "YES", "NO")</f>
        <v>YES</v>
      </c>
      <c r="I30" s="3" t="s">
        <v>47</v>
      </c>
      <c r="J30" s="3"/>
      <c r="K30" s="3" t="s">
        <v>38</v>
      </c>
    </row>
    <row r="31" spans="1:11" ht="26.4" x14ac:dyDescent="0.3">
      <c r="A31" s="2">
        <v>4</v>
      </c>
      <c r="B31" s="2">
        <v>5</v>
      </c>
      <c r="C31" s="8" t="s">
        <v>312</v>
      </c>
      <c r="D31" s="3" t="s">
        <v>48</v>
      </c>
      <c r="E31" s="3" t="s">
        <v>49</v>
      </c>
      <c r="F31" s="26">
        <v>2699.1044904370701</v>
      </c>
      <c r="G31" s="18">
        <v>1088.859618</v>
      </c>
      <c r="H31" s="25" t="str">
        <f>IF(F31&gt;G31, "YES", "NO")</f>
        <v>YES</v>
      </c>
      <c r="I31" s="3" t="s">
        <v>24</v>
      </c>
      <c r="J31" s="3"/>
      <c r="K31" s="3" t="s">
        <v>38</v>
      </c>
    </row>
    <row r="32" spans="1:11" ht="26.4" x14ac:dyDescent="0.3">
      <c r="A32" s="2">
        <v>4</v>
      </c>
      <c r="B32" s="2">
        <v>6</v>
      </c>
      <c r="C32" s="8" t="s">
        <v>313</v>
      </c>
      <c r="D32" s="3" t="s">
        <v>50</v>
      </c>
      <c r="E32" s="3" t="s">
        <v>51</v>
      </c>
      <c r="F32" s="26">
        <v>-0.83729982581632001</v>
      </c>
      <c r="G32" s="18">
        <v>-0.71426500000000004</v>
      </c>
      <c r="H32" s="24" t="str">
        <f>IF(F32&gt;G32, "YES", "NO")</f>
        <v>NO</v>
      </c>
      <c r="I32" s="3" t="s">
        <v>8</v>
      </c>
      <c r="J32" s="3"/>
      <c r="K32" s="3" t="s">
        <v>38</v>
      </c>
    </row>
    <row r="33" spans="1:11" ht="26.4" x14ac:dyDescent="0.3">
      <c r="A33" s="2">
        <v>4</v>
      </c>
      <c r="B33" s="2">
        <v>7</v>
      </c>
      <c r="C33" s="8" t="s">
        <v>328</v>
      </c>
      <c r="D33" s="3" t="s">
        <v>52</v>
      </c>
      <c r="E33" s="3" t="s">
        <v>53</v>
      </c>
      <c r="F33" s="26">
        <v>1.0880407938022301</v>
      </c>
      <c r="G33" s="18">
        <v>1.364968</v>
      </c>
      <c r="H33" s="24" t="str">
        <f>IF(F33&gt;G33, "YES", "NO")</f>
        <v>NO</v>
      </c>
      <c r="I33" s="3" t="s">
        <v>54</v>
      </c>
      <c r="J33" s="3"/>
      <c r="K33" s="3" t="s">
        <v>38</v>
      </c>
    </row>
    <row r="34" spans="1:11" ht="39.6" x14ac:dyDescent="0.3">
      <c r="A34" s="2">
        <v>4</v>
      </c>
      <c r="B34" s="2">
        <v>8</v>
      </c>
      <c r="C34" s="8" t="s">
        <v>314</v>
      </c>
      <c r="D34" s="3" t="s">
        <v>55</v>
      </c>
      <c r="E34" s="3" t="s">
        <v>56</v>
      </c>
      <c r="F34" s="26">
        <v>9.7600836726275002</v>
      </c>
      <c r="G34" s="18">
        <v>9.5984820000000006</v>
      </c>
      <c r="H34" s="25" t="str">
        <f>IF(F34&gt;G34, "YES", "NO")</f>
        <v>YES</v>
      </c>
      <c r="I34" s="3" t="s">
        <v>57</v>
      </c>
      <c r="J34" s="3"/>
      <c r="K34" s="3" t="s">
        <v>38</v>
      </c>
    </row>
    <row r="35" spans="1:11" ht="26.4" x14ac:dyDescent="0.3">
      <c r="A35" s="2">
        <v>5</v>
      </c>
      <c r="B35" s="2">
        <v>1</v>
      </c>
      <c r="C35" s="8" t="s">
        <v>308</v>
      </c>
      <c r="D35" s="3" t="s">
        <v>58</v>
      </c>
      <c r="E35" s="3" t="s">
        <v>59</v>
      </c>
      <c r="F35" s="12">
        <v>5.18447033641838E-188</v>
      </c>
      <c r="G35" s="17">
        <v>7.6999999999999999E-16</v>
      </c>
      <c r="H35" s="24" t="str">
        <f>IF(F35&gt;G35, "YES", "NO")</f>
        <v>NO</v>
      </c>
      <c r="I35" s="3" t="s">
        <v>37</v>
      </c>
      <c r="J35" s="3"/>
      <c r="K35" s="3" t="s">
        <v>60</v>
      </c>
    </row>
    <row r="36" spans="1:11" x14ac:dyDescent="0.3">
      <c r="A36" s="2">
        <v>5</v>
      </c>
      <c r="B36" s="2">
        <v>2</v>
      </c>
      <c r="C36" s="8" t="s">
        <v>309</v>
      </c>
      <c r="D36" s="3" t="s">
        <v>61</v>
      </c>
      <c r="E36" s="3" t="s">
        <v>62</v>
      </c>
      <c r="F36" s="26">
        <v>0.64654787133380098</v>
      </c>
      <c r="G36" s="18">
        <v>0.611205</v>
      </c>
      <c r="H36" s="25" t="str">
        <f>IF(F36&gt;G36, "YES", "NO")</f>
        <v>YES</v>
      </c>
      <c r="I36" s="3" t="s">
        <v>63</v>
      </c>
      <c r="J36" s="3"/>
      <c r="K36" s="3" t="s">
        <v>60</v>
      </c>
    </row>
    <row r="37" spans="1:11" ht="26.4" x14ac:dyDescent="0.3">
      <c r="A37" s="2">
        <v>5</v>
      </c>
      <c r="B37" s="2">
        <v>3</v>
      </c>
      <c r="C37" s="8" t="s">
        <v>310</v>
      </c>
      <c r="D37" s="3" t="s">
        <v>16</v>
      </c>
      <c r="E37" s="3" t="s">
        <v>64</v>
      </c>
      <c r="F37" s="26">
        <v>-2.1356884976208301E-2</v>
      </c>
      <c r="G37" s="18">
        <v>-3.4834999999999998E-2</v>
      </c>
      <c r="H37" s="25" t="str">
        <f>IF(F37&gt;G37, "YES", "NO")</f>
        <v>YES</v>
      </c>
      <c r="I37" s="3" t="s">
        <v>65</v>
      </c>
      <c r="J37" s="3"/>
      <c r="K37" s="3" t="s">
        <v>60</v>
      </c>
    </row>
    <row r="38" spans="1:11" ht="39.6" x14ac:dyDescent="0.3">
      <c r="A38" s="2">
        <v>5</v>
      </c>
      <c r="B38" s="2">
        <v>4</v>
      </c>
      <c r="C38" s="8" t="s">
        <v>311</v>
      </c>
      <c r="D38" s="3" t="s">
        <v>45</v>
      </c>
      <c r="E38" s="3" t="s">
        <v>66</v>
      </c>
      <c r="F38" s="26">
        <v>-0.99147347285462095</v>
      </c>
      <c r="G38" s="18">
        <v>-4.0255419999999997</v>
      </c>
      <c r="H38" s="25" t="str">
        <f>IF(F38&gt;G38, "YES", "NO")</f>
        <v>YES</v>
      </c>
      <c r="I38" s="3" t="s">
        <v>67</v>
      </c>
      <c r="J38" s="3" t="s">
        <v>68</v>
      </c>
      <c r="K38" s="3" t="s">
        <v>60</v>
      </c>
    </row>
    <row r="39" spans="1:11" ht="26.4" x14ac:dyDescent="0.3">
      <c r="A39" s="2">
        <v>5</v>
      </c>
      <c r="B39" s="2">
        <v>5</v>
      </c>
      <c r="C39" s="8" t="s">
        <v>312</v>
      </c>
      <c r="D39" s="3" t="s">
        <v>69</v>
      </c>
      <c r="E39" s="3" t="s">
        <v>70</v>
      </c>
      <c r="F39" s="26">
        <v>3179.3893932320898</v>
      </c>
      <c r="G39" s="18">
        <v>1088.859618</v>
      </c>
      <c r="H39" s="25" t="str">
        <f>IF(F39&gt;G39, "YES", "NO")</f>
        <v>YES</v>
      </c>
      <c r="I39" s="3" t="s">
        <v>71</v>
      </c>
      <c r="J39" s="3"/>
      <c r="K39" s="3" t="s">
        <v>60</v>
      </c>
    </row>
    <row r="40" spans="1:11" ht="26.4" x14ac:dyDescent="0.3">
      <c r="A40" s="2">
        <v>5</v>
      </c>
      <c r="B40" s="2">
        <v>6</v>
      </c>
      <c r="C40" s="8" t="s">
        <v>313</v>
      </c>
      <c r="D40" s="3" t="s">
        <v>72</v>
      </c>
      <c r="E40" s="3" t="s">
        <v>73</v>
      </c>
      <c r="F40" s="26">
        <v>-1.46843028601973</v>
      </c>
      <c r="G40" s="18">
        <v>-0.71426500000000004</v>
      </c>
      <c r="H40" s="24" t="str">
        <f>IF(F40&gt;G40, "YES", "NO")</f>
        <v>NO</v>
      </c>
      <c r="I40" s="3" t="s">
        <v>74</v>
      </c>
      <c r="J40" s="3"/>
      <c r="K40" s="3" t="s">
        <v>60</v>
      </c>
    </row>
    <row r="41" spans="1:11" ht="26.4" x14ac:dyDescent="0.3">
      <c r="A41" s="2">
        <v>5</v>
      </c>
      <c r="B41" s="2">
        <v>7</v>
      </c>
      <c r="C41" s="8" t="s">
        <v>328</v>
      </c>
      <c r="D41" s="3" t="s">
        <v>75</v>
      </c>
      <c r="E41" s="3" t="s">
        <v>76</v>
      </c>
      <c r="F41" s="26">
        <v>1.3110332595883301</v>
      </c>
      <c r="G41" s="18">
        <v>1.364968</v>
      </c>
      <c r="H41" s="24" t="str">
        <f>IF(F41&gt;G41, "YES", "NO")</f>
        <v>NO</v>
      </c>
      <c r="I41" s="3" t="s">
        <v>77</v>
      </c>
      <c r="J41" s="3"/>
      <c r="K41" s="3" t="s">
        <v>60</v>
      </c>
    </row>
    <row r="42" spans="1:11" ht="39.6" x14ac:dyDescent="0.3">
      <c r="A42" s="2">
        <v>5</v>
      </c>
      <c r="B42" s="2">
        <v>8</v>
      </c>
      <c r="C42" s="8" t="s">
        <v>314</v>
      </c>
      <c r="D42" s="3" t="s">
        <v>78</v>
      </c>
      <c r="E42" s="3" t="s">
        <v>79</v>
      </c>
      <c r="F42" s="26">
        <v>8.5908296806611002</v>
      </c>
      <c r="G42" s="18">
        <v>9.5984820000000006</v>
      </c>
      <c r="H42" s="24" t="str">
        <f>IF(F42&gt;G42, "YES", "NO")</f>
        <v>NO</v>
      </c>
      <c r="I42" s="3" t="s">
        <v>80</v>
      </c>
      <c r="J42" s="3"/>
      <c r="K42" s="3" t="s">
        <v>60</v>
      </c>
    </row>
    <row r="43" spans="1:11" ht="26.4" x14ac:dyDescent="0.3">
      <c r="A43" s="2">
        <v>6</v>
      </c>
      <c r="B43" s="2">
        <v>1</v>
      </c>
      <c r="C43" s="8" t="s">
        <v>308</v>
      </c>
      <c r="D43" s="3" t="s">
        <v>81</v>
      </c>
      <c r="E43" s="3" t="s">
        <v>82</v>
      </c>
      <c r="F43" s="12">
        <v>8.0746915640365095E-24</v>
      </c>
      <c r="G43" s="17">
        <v>7.6999999999999999E-16</v>
      </c>
      <c r="H43" s="24" t="str">
        <f>IF(F43&gt;G43, "YES", "NO")</f>
        <v>NO</v>
      </c>
      <c r="I43" s="3" t="s">
        <v>83</v>
      </c>
      <c r="J43" s="3"/>
      <c r="K43" s="3" t="s">
        <v>84</v>
      </c>
    </row>
    <row r="44" spans="1:11" ht="26.4" x14ac:dyDescent="0.3">
      <c r="A44" s="2">
        <v>6</v>
      </c>
      <c r="B44" s="2">
        <v>2</v>
      </c>
      <c r="C44" s="8" t="s">
        <v>309</v>
      </c>
      <c r="D44" s="3" t="s">
        <v>85</v>
      </c>
      <c r="E44" s="3" t="s">
        <v>86</v>
      </c>
      <c r="F44" s="26">
        <v>0.57833665117315802</v>
      </c>
      <c r="G44" s="18">
        <v>0.611205</v>
      </c>
      <c r="H44" s="24" t="str">
        <f>IF(F44&gt;G44, "YES", "NO")</f>
        <v>NO</v>
      </c>
      <c r="I44" s="3" t="s">
        <v>87</v>
      </c>
      <c r="J44" s="3"/>
      <c r="K44" s="3" t="s">
        <v>84</v>
      </c>
    </row>
    <row r="45" spans="1:11" ht="52.8" x14ac:dyDescent="0.3">
      <c r="A45" s="2">
        <v>6</v>
      </c>
      <c r="B45" s="2">
        <v>3</v>
      </c>
      <c r="C45" s="8" t="s">
        <v>310</v>
      </c>
      <c r="D45" s="3" t="s">
        <v>16</v>
      </c>
      <c r="E45" s="3" t="s">
        <v>88</v>
      </c>
      <c r="F45" s="26">
        <v>-1.5072047974664601E-2</v>
      </c>
      <c r="G45" s="18">
        <v>-3.4834999999999998E-2</v>
      </c>
      <c r="H45" s="25" t="str">
        <f>IF(F45&gt;G45, "YES", "NO")</f>
        <v>YES</v>
      </c>
      <c r="I45" s="3" t="s">
        <v>89</v>
      </c>
      <c r="J45" s="3" t="s">
        <v>90</v>
      </c>
      <c r="K45" s="3" t="s">
        <v>84</v>
      </c>
    </row>
    <row r="46" spans="1:11" ht="26.4" x14ac:dyDescent="0.3">
      <c r="A46" s="2">
        <v>6</v>
      </c>
      <c r="B46" s="2">
        <v>4</v>
      </c>
      <c r="C46" s="8" t="s">
        <v>311</v>
      </c>
      <c r="D46" s="3" t="s">
        <v>91</v>
      </c>
      <c r="E46" s="3" t="s">
        <v>92</v>
      </c>
      <c r="F46" s="26">
        <v>-3.1420150111834699</v>
      </c>
      <c r="G46" s="18">
        <v>-4.0255419999999997</v>
      </c>
      <c r="H46" s="25" t="str">
        <f>IF(F46&gt;G46, "YES", "NO")</f>
        <v>YES</v>
      </c>
      <c r="I46" s="3" t="s">
        <v>93</v>
      </c>
      <c r="J46" s="3"/>
      <c r="K46" s="3" t="s">
        <v>84</v>
      </c>
    </row>
    <row r="47" spans="1:11" ht="26.4" x14ac:dyDescent="0.3">
      <c r="A47" s="2">
        <v>6</v>
      </c>
      <c r="B47" s="2">
        <v>5</v>
      </c>
      <c r="C47" s="8" t="s">
        <v>312</v>
      </c>
      <c r="D47" s="3" t="s">
        <v>94</v>
      </c>
      <c r="E47" s="3" t="s">
        <v>95</v>
      </c>
      <c r="F47" s="26">
        <v>2855.1401029189701</v>
      </c>
      <c r="G47" s="18">
        <v>1088.859618</v>
      </c>
      <c r="H47" s="25" t="str">
        <f>IF(F47&gt;G47, "YES", "NO")</f>
        <v>YES</v>
      </c>
      <c r="I47" s="3" t="s">
        <v>96</v>
      </c>
      <c r="J47" s="3"/>
      <c r="K47" s="3" t="s">
        <v>84</v>
      </c>
    </row>
    <row r="48" spans="1:11" ht="26.4" x14ac:dyDescent="0.3">
      <c r="A48" s="2">
        <v>6</v>
      </c>
      <c r="B48" s="2">
        <v>6</v>
      </c>
      <c r="C48" s="8" t="s">
        <v>313</v>
      </c>
      <c r="D48" s="3" t="s">
        <v>97</v>
      </c>
      <c r="E48" s="3" t="s">
        <v>98</v>
      </c>
      <c r="F48" s="26">
        <v>-0.45458148212640298</v>
      </c>
      <c r="G48" s="18">
        <v>-0.71426500000000004</v>
      </c>
      <c r="H48" s="25" t="str">
        <f>IF(F48&gt;G48, "YES", "NO")</f>
        <v>YES</v>
      </c>
      <c r="I48" s="3" t="s">
        <v>99</v>
      </c>
      <c r="J48" s="3"/>
      <c r="K48" s="3" t="s">
        <v>84</v>
      </c>
    </row>
    <row r="49" spans="1:11" ht="26.4" x14ac:dyDescent="0.3">
      <c r="A49" s="2">
        <v>6</v>
      </c>
      <c r="B49" s="2">
        <v>7</v>
      </c>
      <c r="C49" s="8" t="s">
        <v>328</v>
      </c>
      <c r="D49" s="3" t="s">
        <v>100</v>
      </c>
      <c r="E49" s="3" t="s">
        <v>101</v>
      </c>
      <c r="F49" s="26">
        <v>2.1303125658200899</v>
      </c>
      <c r="G49" s="18">
        <v>1.364968</v>
      </c>
      <c r="H49" s="25" t="str">
        <f>IF(F49&gt;G49, "YES", "NO")</f>
        <v>YES</v>
      </c>
      <c r="I49" s="3" t="s">
        <v>102</v>
      </c>
      <c r="J49" s="3"/>
      <c r="K49" s="3" t="s">
        <v>84</v>
      </c>
    </row>
    <row r="50" spans="1:11" ht="39.6" x14ac:dyDescent="0.3">
      <c r="A50" s="2">
        <v>6</v>
      </c>
      <c r="B50" s="2">
        <v>8</v>
      </c>
      <c r="C50" s="8" t="s">
        <v>314</v>
      </c>
      <c r="D50" s="3" t="s">
        <v>103</v>
      </c>
      <c r="E50" s="3" t="s">
        <v>104</v>
      </c>
      <c r="F50" s="26">
        <v>9.6199985919071</v>
      </c>
      <c r="G50" s="18">
        <v>9.5984820000000006</v>
      </c>
      <c r="H50" s="25" t="str">
        <f>IF(F50&gt;G50, "YES", "NO")</f>
        <v>YES</v>
      </c>
      <c r="I50" s="3" t="s">
        <v>105</v>
      </c>
      <c r="J50" s="3"/>
      <c r="K50" s="3" t="s">
        <v>84</v>
      </c>
    </row>
    <row r="51" spans="1:11" ht="26.4" x14ac:dyDescent="0.3">
      <c r="A51" s="2">
        <v>7</v>
      </c>
      <c r="B51" s="2">
        <v>1</v>
      </c>
      <c r="C51" s="8" t="s">
        <v>308</v>
      </c>
      <c r="D51" s="3" t="s">
        <v>106</v>
      </c>
      <c r="E51" s="3" t="s">
        <v>107</v>
      </c>
      <c r="F51" s="12">
        <v>-7.4473758903836903E-6</v>
      </c>
      <c r="G51" s="17">
        <v>7.6999999999999999E-16</v>
      </c>
      <c r="H51" s="24" t="str">
        <f>IF(F51&gt;G51, "YES", "NO")</f>
        <v>NO</v>
      </c>
      <c r="I51" s="3" t="s">
        <v>108</v>
      </c>
      <c r="J51" s="3"/>
      <c r="K51" s="3" t="s">
        <v>109</v>
      </c>
    </row>
    <row r="52" spans="1:11" x14ac:dyDescent="0.3">
      <c r="A52" s="2">
        <v>7</v>
      </c>
      <c r="B52" s="2">
        <v>2</v>
      </c>
      <c r="C52" s="8" t="s">
        <v>309</v>
      </c>
      <c r="D52" s="3" t="s">
        <v>110</v>
      </c>
      <c r="E52" s="3" t="s">
        <v>111</v>
      </c>
      <c r="F52" s="26">
        <v>0.56354655195403702</v>
      </c>
      <c r="G52" s="18">
        <v>0.611205</v>
      </c>
      <c r="H52" s="24" t="str">
        <f>IF(F52&gt;G52, "YES", "NO")</f>
        <v>NO</v>
      </c>
      <c r="I52" s="3" t="s">
        <v>112</v>
      </c>
      <c r="J52" s="3"/>
      <c r="K52" s="3" t="s">
        <v>109</v>
      </c>
    </row>
    <row r="53" spans="1:11" x14ac:dyDescent="0.3">
      <c r="A53" s="2">
        <v>7</v>
      </c>
      <c r="B53" s="2">
        <v>3</v>
      </c>
      <c r="C53" s="8" t="s">
        <v>310</v>
      </c>
      <c r="D53" s="3" t="s">
        <v>113</v>
      </c>
      <c r="E53" s="3" t="s">
        <v>114</v>
      </c>
      <c r="F53" s="26">
        <v>-6.9598830439694295E-2</v>
      </c>
      <c r="G53" s="18">
        <v>-3.4834999999999998E-2</v>
      </c>
      <c r="H53" s="24" t="str">
        <f>IF(F53&gt;G53, "YES", "NO")</f>
        <v>NO</v>
      </c>
      <c r="I53" s="3" t="s">
        <v>115</v>
      </c>
      <c r="J53" s="3"/>
      <c r="K53" s="3" t="s">
        <v>109</v>
      </c>
    </row>
    <row r="54" spans="1:11" ht="26.4" x14ac:dyDescent="0.3">
      <c r="A54" s="2">
        <v>7</v>
      </c>
      <c r="B54" s="2">
        <v>4</v>
      </c>
      <c r="C54" s="8" t="s">
        <v>311</v>
      </c>
      <c r="D54" s="3" t="s">
        <v>116</v>
      </c>
      <c r="E54" s="3" t="s">
        <v>117</v>
      </c>
      <c r="F54" s="26">
        <v>0.65735861032431198</v>
      </c>
      <c r="G54" s="18">
        <v>-4.0255419999999997</v>
      </c>
      <c r="H54" s="25" t="str">
        <f>IF(F54&gt;G54, "YES", "NO")</f>
        <v>YES</v>
      </c>
      <c r="I54" s="3" t="s">
        <v>118</v>
      </c>
      <c r="J54" s="3"/>
      <c r="K54" s="3" t="s">
        <v>109</v>
      </c>
    </row>
    <row r="55" spans="1:11" ht="26.4" x14ac:dyDescent="0.3">
      <c r="A55" s="2">
        <v>7</v>
      </c>
      <c r="B55" s="2">
        <v>5</v>
      </c>
      <c r="C55" s="8" t="s">
        <v>312</v>
      </c>
      <c r="D55" s="3" t="s">
        <v>119</v>
      </c>
      <c r="E55" s="3" t="s">
        <v>120</v>
      </c>
      <c r="F55" s="26">
        <v>4461.2436211644099</v>
      </c>
      <c r="G55" s="18">
        <v>1088.859618</v>
      </c>
      <c r="H55" s="25" t="str">
        <f>IF(F55&gt;G55, "YES", "NO")</f>
        <v>YES</v>
      </c>
      <c r="I55" s="3" t="s">
        <v>121</v>
      </c>
      <c r="J55" s="3"/>
      <c r="K55" s="3" t="s">
        <v>109</v>
      </c>
    </row>
    <row r="56" spans="1:11" ht="26.4" x14ac:dyDescent="0.3">
      <c r="A56" s="2">
        <v>7</v>
      </c>
      <c r="B56" s="2">
        <v>6</v>
      </c>
      <c r="C56" s="8" t="s">
        <v>313</v>
      </c>
      <c r="D56" s="3" t="s">
        <v>122</v>
      </c>
      <c r="E56" s="3" t="s">
        <v>123</v>
      </c>
      <c r="F56" s="26">
        <v>-0.85930386783637902</v>
      </c>
      <c r="G56" s="18">
        <v>-0.71426500000000004</v>
      </c>
      <c r="H56" s="24" t="str">
        <f>IF(F56&gt;G56, "YES", "NO")</f>
        <v>NO</v>
      </c>
      <c r="I56" s="3" t="s">
        <v>99</v>
      </c>
      <c r="J56" s="3"/>
      <c r="K56" s="3" t="s">
        <v>109</v>
      </c>
    </row>
    <row r="57" spans="1:11" ht="26.4" x14ac:dyDescent="0.3">
      <c r="A57" s="2">
        <v>7</v>
      </c>
      <c r="B57" s="2">
        <v>7</v>
      </c>
      <c r="C57" s="8" t="s">
        <v>328</v>
      </c>
      <c r="D57" s="3" t="s">
        <v>124</v>
      </c>
      <c r="E57" s="3" t="s">
        <v>125</v>
      </c>
      <c r="F57" s="26">
        <v>2.0635881593816801</v>
      </c>
      <c r="G57" s="18">
        <v>1.364968</v>
      </c>
      <c r="H57" s="25" t="str">
        <f>IF(F57&gt;G57, "YES", "NO")</f>
        <v>YES</v>
      </c>
      <c r="I57" s="3" t="s">
        <v>126</v>
      </c>
      <c r="J57" s="3"/>
      <c r="K57" s="3" t="s">
        <v>109</v>
      </c>
    </row>
    <row r="58" spans="1:11" ht="39.6" x14ac:dyDescent="0.3">
      <c r="A58" s="2">
        <v>7</v>
      </c>
      <c r="B58" s="2">
        <v>8</v>
      </c>
      <c r="C58" s="8" t="s">
        <v>314</v>
      </c>
      <c r="D58" s="3" t="s">
        <v>127</v>
      </c>
      <c r="E58" s="3" t="s">
        <v>128</v>
      </c>
      <c r="F58" s="26">
        <v>9.6382091831286001</v>
      </c>
      <c r="G58" s="18">
        <v>9.5984820000000006</v>
      </c>
      <c r="H58" s="25" t="str">
        <f>IF(F58&gt;G58, "YES", "NO")</f>
        <v>YES</v>
      </c>
      <c r="I58" s="3" t="s">
        <v>129</v>
      </c>
      <c r="J58" s="3"/>
      <c r="K58" s="3" t="s">
        <v>109</v>
      </c>
    </row>
    <row r="59" spans="1:11" ht="26.4" x14ac:dyDescent="0.3">
      <c r="A59" s="2">
        <v>8</v>
      </c>
      <c r="B59" s="2">
        <v>1</v>
      </c>
      <c r="C59" s="8" t="s">
        <v>308</v>
      </c>
      <c r="D59" s="3" t="s">
        <v>130</v>
      </c>
      <c r="E59" s="3" t="s">
        <v>131</v>
      </c>
      <c r="F59" s="12">
        <v>2.00959888961409E-19</v>
      </c>
      <c r="G59" s="17">
        <v>7.6999999999999999E-16</v>
      </c>
      <c r="H59" s="24" t="str">
        <f>IF(F59&gt;G59, "YES", "NO")</f>
        <v>NO</v>
      </c>
      <c r="I59" s="3" t="s">
        <v>132</v>
      </c>
      <c r="J59" s="3"/>
      <c r="K59" s="3" t="s">
        <v>133</v>
      </c>
    </row>
    <row r="60" spans="1:11" ht="26.4" x14ac:dyDescent="0.3">
      <c r="A60" s="2">
        <v>8</v>
      </c>
      <c r="B60" s="2">
        <v>2</v>
      </c>
      <c r="C60" s="8" t="s">
        <v>309</v>
      </c>
      <c r="D60" s="3" t="s">
        <v>134</v>
      </c>
      <c r="E60" s="3" t="s">
        <v>135</v>
      </c>
      <c r="F60" s="26">
        <v>0.68318750746611201</v>
      </c>
      <c r="G60" s="18">
        <v>0.611205</v>
      </c>
      <c r="H60" s="25" t="str">
        <f>IF(F60&gt;G60, "YES", "NO")</f>
        <v>YES</v>
      </c>
      <c r="I60" s="3" t="s">
        <v>136</v>
      </c>
      <c r="J60" s="3"/>
      <c r="K60" s="3" t="s">
        <v>133</v>
      </c>
    </row>
    <row r="61" spans="1:11" x14ac:dyDescent="0.3">
      <c r="A61" s="2">
        <v>8</v>
      </c>
      <c r="B61" s="2">
        <v>3</v>
      </c>
      <c r="C61" s="8" t="s">
        <v>310</v>
      </c>
      <c r="D61" s="3" t="s">
        <v>137</v>
      </c>
      <c r="E61" s="3" t="s">
        <v>138</v>
      </c>
      <c r="F61" s="26">
        <v>-2.3447827971171301E-2</v>
      </c>
      <c r="G61" s="18">
        <v>-3.4834999999999998E-2</v>
      </c>
      <c r="H61" s="25" t="str">
        <f>IF(F61&gt;G61, "YES", "NO")</f>
        <v>YES</v>
      </c>
      <c r="I61" s="3" t="s">
        <v>139</v>
      </c>
      <c r="J61" s="3"/>
      <c r="K61" s="3" t="s">
        <v>133</v>
      </c>
    </row>
    <row r="62" spans="1:11" ht="26.4" x14ac:dyDescent="0.3">
      <c r="A62" s="2">
        <v>8</v>
      </c>
      <c r="B62" s="2">
        <v>4</v>
      </c>
      <c r="C62" s="8" t="s">
        <v>311</v>
      </c>
      <c r="D62" s="3" t="s">
        <v>140</v>
      </c>
      <c r="E62" s="3" t="s">
        <v>141</v>
      </c>
      <c r="F62" s="26">
        <v>0.66407830328145001</v>
      </c>
      <c r="G62" s="18">
        <v>-4.0255419999999997</v>
      </c>
      <c r="H62" s="25" t="str">
        <f>IF(F62&gt;G62, "YES", "NO")</f>
        <v>YES</v>
      </c>
      <c r="I62" s="3" t="s">
        <v>142</v>
      </c>
      <c r="J62" s="3"/>
      <c r="K62" s="3" t="s">
        <v>133</v>
      </c>
    </row>
    <row r="63" spans="1:11" ht="26.4" x14ac:dyDescent="0.3">
      <c r="A63" s="2">
        <v>8</v>
      </c>
      <c r="B63" s="2">
        <v>5</v>
      </c>
      <c r="C63" s="8" t="s">
        <v>312</v>
      </c>
      <c r="D63" s="3" t="s">
        <v>143</v>
      </c>
      <c r="E63" s="3" t="s">
        <v>144</v>
      </c>
      <c r="F63" s="26">
        <v>4826.2826878285396</v>
      </c>
      <c r="G63" s="18">
        <v>1088.859618</v>
      </c>
      <c r="H63" s="25" t="str">
        <f>IF(F63&gt;G63, "YES", "NO")</f>
        <v>YES</v>
      </c>
      <c r="I63" s="3" t="s">
        <v>24</v>
      </c>
      <c r="J63" s="3"/>
      <c r="K63" s="3" t="s">
        <v>133</v>
      </c>
    </row>
    <row r="64" spans="1:11" ht="39.6" x14ac:dyDescent="0.3">
      <c r="A64" s="2">
        <v>8</v>
      </c>
      <c r="B64" s="2">
        <v>6</v>
      </c>
      <c r="C64" s="8" t="s">
        <v>313</v>
      </c>
      <c r="D64" s="3" t="s">
        <v>145</v>
      </c>
      <c r="E64" s="3" t="s">
        <v>146</v>
      </c>
      <c r="F64" s="26">
        <v>-0.65077452828844495</v>
      </c>
      <c r="G64" s="18">
        <v>-0.71426500000000004</v>
      </c>
      <c r="H64" s="25" t="str">
        <f>IF(F64&gt;G64, "YES", "NO")</f>
        <v>YES</v>
      </c>
      <c r="I64" s="3" t="s">
        <v>147</v>
      </c>
      <c r="J64" s="3" t="s">
        <v>148</v>
      </c>
      <c r="K64" s="3" t="s">
        <v>133</v>
      </c>
    </row>
    <row r="65" spans="1:11" ht="26.4" x14ac:dyDescent="0.3">
      <c r="A65" s="2">
        <v>8</v>
      </c>
      <c r="B65" s="2">
        <v>7</v>
      </c>
      <c r="C65" s="8" t="s">
        <v>328</v>
      </c>
      <c r="D65" s="3" t="s">
        <v>149</v>
      </c>
      <c r="E65" s="3" t="s">
        <v>150</v>
      </c>
      <c r="F65" s="26">
        <v>1.6429286618958701</v>
      </c>
      <c r="G65" s="18">
        <v>1.364968</v>
      </c>
      <c r="H65" s="25" t="str">
        <f>IF(F65&gt;G65, "YES", "NO")</f>
        <v>YES</v>
      </c>
      <c r="I65" s="3" t="s">
        <v>151</v>
      </c>
      <c r="J65" s="3"/>
      <c r="K65" s="3" t="s">
        <v>133</v>
      </c>
    </row>
    <row r="66" spans="1:11" ht="39.6" x14ac:dyDescent="0.3">
      <c r="A66" s="2">
        <v>8</v>
      </c>
      <c r="B66" s="2">
        <v>8</v>
      </c>
      <c r="C66" s="8" t="s">
        <v>314</v>
      </c>
      <c r="D66" s="3" t="s">
        <v>152</v>
      </c>
      <c r="E66" s="3" t="s">
        <v>153</v>
      </c>
      <c r="F66" s="26">
        <v>9.7527229771375996</v>
      </c>
      <c r="G66" s="18">
        <v>9.5984820000000006</v>
      </c>
      <c r="H66" s="25" t="str">
        <f>IF(F66&gt;G66, "YES", "NO")</f>
        <v>YES</v>
      </c>
      <c r="I66" s="3" t="s">
        <v>154</v>
      </c>
      <c r="J66" s="3"/>
      <c r="K66" s="3" t="s">
        <v>133</v>
      </c>
    </row>
    <row r="67" spans="1:11" ht="66" x14ac:dyDescent="0.3">
      <c r="A67" s="2">
        <v>9</v>
      </c>
      <c r="B67" s="2">
        <v>1</v>
      </c>
      <c r="C67" s="8" t="s">
        <v>308</v>
      </c>
      <c r="D67" s="3" t="s">
        <v>155</v>
      </c>
      <c r="E67" s="3" t="s">
        <v>156</v>
      </c>
      <c r="F67" s="12">
        <v>6.8809691038865201E-15</v>
      </c>
      <c r="G67" s="17">
        <v>7.6999999999999999E-16</v>
      </c>
      <c r="H67" s="25" t="str">
        <f>IF(F67&gt;G67, "YES", "NO")</f>
        <v>YES</v>
      </c>
      <c r="I67" s="3" t="s">
        <v>157</v>
      </c>
      <c r="J67" s="3" t="s">
        <v>158</v>
      </c>
      <c r="K67" s="3" t="s">
        <v>159</v>
      </c>
    </row>
    <row r="68" spans="1:11" ht="52.8" x14ac:dyDescent="0.3">
      <c r="A68" s="2">
        <v>9</v>
      </c>
      <c r="B68" s="2">
        <v>2</v>
      </c>
      <c r="C68" s="8" t="s">
        <v>309</v>
      </c>
      <c r="D68" s="3" t="s">
        <v>160</v>
      </c>
      <c r="E68" s="3" t="s">
        <v>161</v>
      </c>
      <c r="F68" s="26">
        <v>0.636072868318181</v>
      </c>
      <c r="G68" s="18">
        <v>0.611205</v>
      </c>
      <c r="H68" s="25" t="str">
        <f>IF(F68&gt;G68, "YES", "NO")</f>
        <v>YES</v>
      </c>
      <c r="I68" s="3" t="s">
        <v>162</v>
      </c>
      <c r="J68" s="3"/>
      <c r="K68" s="3" t="s">
        <v>159</v>
      </c>
    </row>
    <row r="69" spans="1:11" ht="79.2" x14ac:dyDescent="0.3">
      <c r="A69" s="2">
        <v>9</v>
      </c>
      <c r="B69" s="2">
        <v>3</v>
      </c>
      <c r="C69" s="8" t="s">
        <v>310</v>
      </c>
      <c r="D69" s="3" t="s">
        <v>163</v>
      </c>
      <c r="E69" s="3" t="s">
        <v>164</v>
      </c>
      <c r="F69" s="26">
        <v>-2.92692404572319E-2</v>
      </c>
      <c r="G69" s="18">
        <v>-3.4834999999999998E-2</v>
      </c>
      <c r="H69" s="25" t="str">
        <f>IF(F69&gt;G69, "YES", "NO")</f>
        <v>YES</v>
      </c>
      <c r="I69" s="3" t="s">
        <v>165</v>
      </c>
      <c r="J69" s="3" t="s">
        <v>166</v>
      </c>
      <c r="K69" s="3" t="s">
        <v>159</v>
      </c>
    </row>
    <row r="70" spans="1:11" ht="66" x14ac:dyDescent="0.3">
      <c r="A70" s="2">
        <v>9</v>
      </c>
      <c r="B70" s="2">
        <v>4</v>
      </c>
      <c r="C70" s="8" t="s">
        <v>311</v>
      </c>
      <c r="D70" s="3" t="s">
        <v>167</v>
      </c>
      <c r="E70" s="3" t="s">
        <v>168</v>
      </c>
      <c r="F70" s="26">
        <v>0.47213000985672998</v>
      </c>
      <c r="G70" s="18">
        <v>-4.0255419999999997</v>
      </c>
      <c r="H70" s="25" t="str">
        <f>IF(F70&gt;G70, "YES", "NO")</f>
        <v>YES</v>
      </c>
      <c r="I70" s="3" t="s">
        <v>169</v>
      </c>
      <c r="J70" s="3" t="s">
        <v>170</v>
      </c>
      <c r="K70" s="3" t="s">
        <v>159</v>
      </c>
    </row>
    <row r="71" spans="1:11" ht="26.4" x14ac:dyDescent="0.3">
      <c r="A71" s="2">
        <v>9</v>
      </c>
      <c r="B71" s="2">
        <v>5</v>
      </c>
      <c r="C71" s="8" t="s">
        <v>312</v>
      </c>
      <c r="D71" s="3" t="s">
        <v>171</v>
      </c>
      <c r="E71" s="3" t="s">
        <v>172</v>
      </c>
      <c r="F71" s="26">
        <v>5022.76751174116</v>
      </c>
      <c r="G71" s="18">
        <v>1088.859618</v>
      </c>
      <c r="H71" s="25" t="str">
        <f>IF(F71&gt;G71, "YES", "NO")</f>
        <v>YES</v>
      </c>
      <c r="I71" s="3" t="s">
        <v>24</v>
      </c>
      <c r="J71" s="3"/>
      <c r="K71" s="3" t="s">
        <v>159</v>
      </c>
    </row>
    <row r="72" spans="1:11" ht="26.4" x14ac:dyDescent="0.3">
      <c r="A72" s="2">
        <v>9</v>
      </c>
      <c r="B72" s="2">
        <v>6</v>
      </c>
      <c r="C72" s="8" t="s">
        <v>313</v>
      </c>
      <c r="D72" s="3" t="s">
        <v>173</v>
      </c>
      <c r="E72" s="3" t="s">
        <v>174</v>
      </c>
      <c r="F72" s="26">
        <v>-0.33838131155696999</v>
      </c>
      <c r="G72" s="18">
        <v>-0.71426500000000004</v>
      </c>
      <c r="H72" s="25" t="str">
        <f>IF(F72&gt;G72, "YES", "NO")</f>
        <v>YES</v>
      </c>
      <c r="I72" s="3" t="s">
        <v>175</v>
      </c>
      <c r="J72" s="3"/>
      <c r="K72" s="3" t="s">
        <v>159</v>
      </c>
    </row>
    <row r="73" spans="1:11" ht="26.4" x14ac:dyDescent="0.3">
      <c r="A73" s="2">
        <v>9</v>
      </c>
      <c r="B73" s="2">
        <v>7</v>
      </c>
      <c r="C73" s="8" t="s">
        <v>328</v>
      </c>
      <c r="D73" s="3" t="s">
        <v>176</v>
      </c>
      <c r="E73" s="3" t="s">
        <v>177</v>
      </c>
      <c r="F73" s="26">
        <v>2.7492080249859301</v>
      </c>
      <c r="G73" s="18">
        <v>1.364968</v>
      </c>
      <c r="H73" s="25" t="str">
        <f>IF(F73&gt;G73, "YES", "NO")</f>
        <v>YES</v>
      </c>
      <c r="I73" s="3" t="s">
        <v>151</v>
      </c>
      <c r="J73" s="3"/>
      <c r="K73" s="3" t="s">
        <v>159</v>
      </c>
    </row>
    <row r="74" spans="1:11" ht="39.6" x14ac:dyDescent="0.3">
      <c r="A74" s="2">
        <v>9</v>
      </c>
      <c r="B74" s="2">
        <v>8</v>
      </c>
      <c r="C74" s="8" t="s">
        <v>314</v>
      </c>
      <c r="D74" s="3" t="s">
        <v>178</v>
      </c>
      <c r="E74" s="3" t="s">
        <v>179</v>
      </c>
      <c r="F74" s="26">
        <v>9.7302013685809996</v>
      </c>
      <c r="G74" s="18">
        <v>9.5984820000000006</v>
      </c>
      <c r="H74" s="25" t="str">
        <f>IF(F74&gt;G74, "YES", "NO")</f>
        <v>YES</v>
      </c>
      <c r="I74" s="3" t="s">
        <v>180</v>
      </c>
      <c r="J74" s="3"/>
      <c r="K74" s="3" t="s">
        <v>159</v>
      </c>
    </row>
    <row r="75" spans="1:11" ht="52.8" x14ac:dyDescent="0.3">
      <c r="A75" s="2">
        <v>10</v>
      </c>
      <c r="B75" s="2">
        <v>1</v>
      </c>
      <c r="C75" s="8" t="s">
        <v>308</v>
      </c>
      <c r="D75" s="3" t="s">
        <v>181</v>
      </c>
      <c r="E75" s="3" t="s">
        <v>182</v>
      </c>
      <c r="F75" s="12">
        <v>3.1729477753260398E-11</v>
      </c>
      <c r="G75" s="17">
        <v>7.6999999999999999E-16</v>
      </c>
      <c r="H75" s="25" t="str">
        <f>IF(F75&gt;G75, "YES", "NO")</f>
        <v>YES</v>
      </c>
      <c r="I75" s="3" t="s">
        <v>183</v>
      </c>
      <c r="J75" s="3" t="s">
        <v>184</v>
      </c>
      <c r="K75" s="3" t="s">
        <v>185</v>
      </c>
    </row>
    <row r="76" spans="1:11" ht="66" x14ac:dyDescent="0.3">
      <c r="A76" s="2">
        <v>10</v>
      </c>
      <c r="B76" s="2">
        <v>2</v>
      </c>
      <c r="C76" s="8" t="s">
        <v>309</v>
      </c>
      <c r="D76" s="3" t="s">
        <v>186</v>
      </c>
      <c r="E76" s="3" t="s">
        <v>187</v>
      </c>
      <c r="F76" s="26">
        <v>0.510942460466704</v>
      </c>
      <c r="G76" s="18">
        <v>0.611205</v>
      </c>
      <c r="H76" s="24" t="str">
        <f>IF(F76&gt;G76, "YES", "NO")</f>
        <v>NO</v>
      </c>
      <c r="I76" s="3" t="s">
        <v>188</v>
      </c>
      <c r="J76" s="3" t="s">
        <v>189</v>
      </c>
      <c r="K76" s="3" t="s">
        <v>185</v>
      </c>
    </row>
    <row r="77" spans="1:11" ht="26.4" x14ac:dyDescent="0.3">
      <c r="A77" s="2">
        <v>10</v>
      </c>
      <c r="B77" s="2">
        <v>3</v>
      </c>
      <c r="C77" s="8" t="s">
        <v>310</v>
      </c>
      <c r="D77" s="3" t="s">
        <v>190</v>
      </c>
      <c r="E77" s="3" t="s">
        <v>191</v>
      </c>
      <c r="F77" s="26">
        <v>-1.8516070209495E-2</v>
      </c>
      <c r="G77" s="18">
        <v>-3.4834999999999998E-2</v>
      </c>
      <c r="H77" s="25" t="str">
        <f>IF(F77&gt;G77, "YES", "NO")</f>
        <v>YES</v>
      </c>
      <c r="I77" s="3" t="s">
        <v>192</v>
      </c>
      <c r="J77" s="3"/>
      <c r="K77" s="3" t="s">
        <v>185</v>
      </c>
    </row>
    <row r="78" spans="1:11" ht="26.4" x14ac:dyDescent="0.3">
      <c r="A78" s="2">
        <v>10</v>
      </c>
      <c r="B78" s="2">
        <v>4</v>
      </c>
      <c r="C78" s="8" t="s">
        <v>311</v>
      </c>
      <c r="D78" s="3" t="s">
        <v>193</v>
      </c>
      <c r="E78" s="3" t="s">
        <v>194</v>
      </c>
      <c r="F78" s="26">
        <v>0.27362150638406002</v>
      </c>
      <c r="G78" s="18">
        <v>-4.0255419999999997</v>
      </c>
      <c r="H78" s="25" t="str">
        <f>IF(F78&gt;G78, "YES", "NO")</f>
        <v>YES</v>
      </c>
      <c r="I78" s="3" t="s">
        <v>195</v>
      </c>
      <c r="J78" s="3"/>
      <c r="K78" s="3" t="s">
        <v>185</v>
      </c>
    </row>
    <row r="79" spans="1:11" ht="105.6" x14ac:dyDescent="0.3">
      <c r="A79" s="2">
        <v>10</v>
      </c>
      <c r="B79" s="2">
        <v>5</v>
      </c>
      <c r="C79" s="8" t="s">
        <v>312</v>
      </c>
      <c r="D79" s="3" t="s">
        <v>196</v>
      </c>
      <c r="E79" s="3" t="s">
        <v>197</v>
      </c>
      <c r="F79" s="26">
        <v>14653.3604054444</v>
      </c>
      <c r="G79" s="18">
        <v>1088.859618</v>
      </c>
      <c r="H79" s="25" t="str">
        <f>IF(F79&gt;G79, "YES", "NO")</f>
        <v>YES</v>
      </c>
      <c r="I79" s="3" t="s">
        <v>198</v>
      </c>
      <c r="J79" s="3" t="s">
        <v>199</v>
      </c>
      <c r="K79" s="3" t="s">
        <v>185</v>
      </c>
    </row>
    <row r="80" spans="1:11" ht="26.4" x14ac:dyDescent="0.3">
      <c r="A80" s="2">
        <v>10</v>
      </c>
      <c r="B80" s="2">
        <v>6</v>
      </c>
      <c r="C80" s="8" t="s">
        <v>313</v>
      </c>
      <c r="D80" s="3" t="s">
        <v>200</v>
      </c>
      <c r="E80" s="3" t="s">
        <v>201</v>
      </c>
      <c r="F80" s="26">
        <v>-1.0888312429906599</v>
      </c>
      <c r="G80" s="18">
        <v>-0.71426500000000004</v>
      </c>
      <c r="H80" s="24" t="str">
        <f>IF(F80&gt;G80, "YES", "NO")</f>
        <v>NO</v>
      </c>
      <c r="I80" s="3" t="s">
        <v>202</v>
      </c>
      <c r="J80" s="3"/>
      <c r="K80" s="3" t="s">
        <v>185</v>
      </c>
    </row>
    <row r="81" spans="1:11" ht="52.8" x14ac:dyDescent="0.3">
      <c r="A81" s="2">
        <v>10</v>
      </c>
      <c r="B81" s="2">
        <v>7</v>
      </c>
      <c r="C81" s="8" t="s">
        <v>328</v>
      </c>
      <c r="D81" s="3" t="s">
        <v>176</v>
      </c>
      <c r="E81" s="3" t="s">
        <v>203</v>
      </c>
      <c r="F81" s="26">
        <v>1.7623642104450401</v>
      </c>
      <c r="G81" s="18">
        <v>1.364968</v>
      </c>
      <c r="H81" s="25" t="str">
        <f>IF(F81&gt;G81, "YES", "NO")</f>
        <v>YES</v>
      </c>
      <c r="I81" s="3" t="s">
        <v>204</v>
      </c>
      <c r="J81" s="3" t="s">
        <v>205</v>
      </c>
      <c r="K81" s="3" t="s">
        <v>185</v>
      </c>
    </row>
    <row r="82" spans="1:11" ht="39.6" x14ac:dyDescent="0.3">
      <c r="A82" s="2">
        <v>10</v>
      </c>
      <c r="B82" s="2">
        <v>8</v>
      </c>
      <c r="C82" s="8" t="s">
        <v>314</v>
      </c>
      <c r="D82" s="3" t="s">
        <v>206</v>
      </c>
      <c r="E82" s="3" t="s">
        <v>207</v>
      </c>
      <c r="F82" s="26">
        <v>9.9082946045743991</v>
      </c>
      <c r="G82" s="18">
        <v>9.5984820000000006</v>
      </c>
      <c r="H82" s="25" t="str">
        <f>IF(F82&gt;G82, "YES", "NO")</f>
        <v>YES</v>
      </c>
      <c r="I82" s="3" t="s">
        <v>208</v>
      </c>
      <c r="J82" s="3"/>
      <c r="K82" s="3" t="s">
        <v>185</v>
      </c>
    </row>
    <row r="83" spans="1:11" ht="26.4" x14ac:dyDescent="0.3">
      <c r="A83" s="2">
        <v>11</v>
      </c>
      <c r="B83" s="2">
        <v>1</v>
      </c>
      <c r="C83" s="8" t="s">
        <v>308</v>
      </c>
      <c r="D83" s="3" t="s">
        <v>209</v>
      </c>
      <c r="E83" s="3" t="s">
        <v>210</v>
      </c>
      <c r="F83" s="12">
        <v>3.2391814125096901E-13</v>
      </c>
      <c r="G83" s="17">
        <v>7.6999999999999999E-16</v>
      </c>
      <c r="H83" s="25" t="str">
        <f>IF(F83&gt;G83, "YES", "NO")</f>
        <v>YES</v>
      </c>
      <c r="I83" s="3" t="s">
        <v>211</v>
      </c>
      <c r="J83" s="3"/>
      <c r="K83" s="3" t="s">
        <v>212</v>
      </c>
    </row>
    <row r="84" spans="1:11" ht="26.4" x14ac:dyDescent="0.3">
      <c r="A84" s="2">
        <v>11</v>
      </c>
      <c r="B84" s="2">
        <v>2</v>
      </c>
      <c r="C84" s="8" t="s">
        <v>309</v>
      </c>
      <c r="D84" s="3" t="s">
        <v>213</v>
      </c>
      <c r="E84" s="3" t="s">
        <v>214</v>
      </c>
      <c r="F84" s="26">
        <v>0.61354631015277605</v>
      </c>
      <c r="G84" s="18">
        <v>0.611205</v>
      </c>
      <c r="H84" s="25" t="str">
        <f>IF(F84&gt;G84, "YES", "NO")</f>
        <v>YES</v>
      </c>
      <c r="I84" s="3" t="s">
        <v>215</v>
      </c>
      <c r="J84" s="3"/>
      <c r="K84" s="3" t="s">
        <v>212</v>
      </c>
    </row>
    <row r="85" spans="1:11" ht="26.4" x14ac:dyDescent="0.3">
      <c r="A85" s="2">
        <v>11</v>
      </c>
      <c r="B85" s="2">
        <v>3</v>
      </c>
      <c r="C85" s="8" t="s">
        <v>310</v>
      </c>
      <c r="D85" s="3" t="s">
        <v>216</v>
      </c>
      <c r="E85" s="3" t="s">
        <v>217</v>
      </c>
      <c r="F85" s="26">
        <v>-1.8111872745105399E-2</v>
      </c>
      <c r="G85" s="18">
        <v>-3.4834999999999998E-2</v>
      </c>
      <c r="H85" s="25" t="str">
        <f>IF(F85&gt;G85, "YES", "NO")</f>
        <v>YES</v>
      </c>
      <c r="I85" s="3" t="s">
        <v>218</v>
      </c>
      <c r="J85" s="3"/>
      <c r="K85" s="3" t="s">
        <v>212</v>
      </c>
    </row>
    <row r="86" spans="1:11" ht="26.4" x14ac:dyDescent="0.3">
      <c r="A86" s="2">
        <v>11</v>
      </c>
      <c r="B86" s="2">
        <v>4</v>
      </c>
      <c r="C86" s="8" t="s">
        <v>311</v>
      </c>
      <c r="D86" s="3" t="s">
        <v>219</v>
      </c>
      <c r="E86" s="3" t="s">
        <v>220</v>
      </c>
      <c r="F86" s="26">
        <v>-1.33441564160183</v>
      </c>
      <c r="G86" s="18">
        <v>-4.0255419999999997</v>
      </c>
      <c r="H86" s="25" t="str">
        <f>IF(F86&gt;G86, "YES", "NO")</f>
        <v>YES</v>
      </c>
      <c r="I86" s="3" t="s">
        <v>195</v>
      </c>
      <c r="J86" s="3"/>
      <c r="K86" s="3" t="s">
        <v>212</v>
      </c>
    </row>
    <row r="87" spans="1:11" ht="66" x14ac:dyDescent="0.3">
      <c r="A87" s="2">
        <v>11</v>
      </c>
      <c r="B87" s="2">
        <v>5</v>
      </c>
      <c r="C87" s="8" t="s">
        <v>312</v>
      </c>
      <c r="D87" s="3" t="s">
        <v>221</v>
      </c>
      <c r="E87" s="3" t="s">
        <v>222</v>
      </c>
      <c r="F87" s="26">
        <v>6469.9950290803899</v>
      </c>
      <c r="G87" s="18">
        <v>1088.859618</v>
      </c>
      <c r="H87" s="25" t="str">
        <f>IF(F87&gt;G87, "YES", "NO")</f>
        <v>YES</v>
      </c>
      <c r="I87" s="3" t="s">
        <v>223</v>
      </c>
      <c r="J87" s="3" t="s">
        <v>224</v>
      </c>
      <c r="K87" s="3" t="s">
        <v>212</v>
      </c>
    </row>
    <row r="88" spans="1:11" ht="26.4" x14ac:dyDescent="0.3">
      <c r="A88" s="2">
        <v>11</v>
      </c>
      <c r="B88" s="2">
        <v>6</v>
      </c>
      <c r="C88" s="8" t="s">
        <v>313</v>
      </c>
      <c r="D88" s="3" t="s">
        <v>225</v>
      </c>
      <c r="E88" s="3" t="s">
        <v>226</v>
      </c>
      <c r="F88" s="26">
        <v>-1.32064594746533</v>
      </c>
      <c r="G88" s="18">
        <v>-0.71426500000000004</v>
      </c>
      <c r="H88" s="24" t="str">
        <f>IF(F88&gt;G88, "YES", "NO")</f>
        <v>NO</v>
      </c>
      <c r="I88" s="3" t="s">
        <v>227</v>
      </c>
      <c r="J88" s="3"/>
      <c r="K88" s="3" t="s">
        <v>212</v>
      </c>
    </row>
    <row r="89" spans="1:11" ht="105.6" x14ac:dyDescent="0.3">
      <c r="A89" s="2">
        <v>11</v>
      </c>
      <c r="B89" s="2">
        <v>7</v>
      </c>
      <c r="C89" s="8" t="s">
        <v>328</v>
      </c>
      <c r="D89" s="3" t="s">
        <v>228</v>
      </c>
      <c r="E89" s="3" t="s">
        <v>229</v>
      </c>
      <c r="F89" s="26">
        <v>2.6270290722093699</v>
      </c>
      <c r="G89" s="18">
        <v>1.364968</v>
      </c>
      <c r="H89" s="25" t="str">
        <f>IF(F89&gt;G89, "YES", "NO")</f>
        <v>YES</v>
      </c>
      <c r="I89" s="3" t="s">
        <v>230</v>
      </c>
      <c r="J89" s="3" t="s">
        <v>231</v>
      </c>
      <c r="K89" s="3" t="s">
        <v>212</v>
      </c>
    </row>
    <row r="90" spans="1:11" ht="39.6" x14ac:dyDescent="0.3">
      <c r="A90" s="2">
        <v>11</v>
      </c>
      <c r="B90" s="2">
        <v>8</v>
      </c>
      <c r="C90" s="8" t="s">
        <v>314</v>
      </c>
      <c r="D90" s="3" t="s">
        <v>232</v>
      </c>
      <c r="E90" s="3" t="s">
        <v>233</v>
      </c>
      <c r="F90" s="26">
        <v>9.7292849417595999</v>
      </c>
      <c r="G90" s="18">
        <v>9.5984820000000006</v>
      </c>
      <c r="H90" s="25" t="str">
        <f>IF(F90&gt;G90, "YES", "NO")</f>
        <v>YES</v>
      </c>
      <c r="I90" s="3" t="s">
        <v>208</v>
      </c>
      <c r="J90" s="3"/>
      <c r="K90" s="3" t="s">
        <v>212</v>
      </c>
    </row>
    <row r="91" spans="1:11" ht="52.8" x14ac:dyDescent="0.3">
      <c r="A91" s="2">
        <v>12</v>
      </c>
      <c r="B91" s="2">
        <v>1</v>
      </c>
      <c r="C91" s="8" t="s">
        <v>308</v>
      </c>
      <c r="D91" s="3" t="s">
        <v>234</v>
      </c>
      <c r="E91" s="3" t="s">
        <v>235</v>
      </c>
      <c r="F91" s="12">
        <v>5.0007374606083996E-13</v>
      </c>
      <c r="G91" s="17">
        <v>7.6999999999999999E-16</v>
      </c>
      <c r="H91" s="25" t="str">
        <f>IF(F91&gt;G91, "YES", "NO")</f>
        <v>YES</v>
      </c>
      <c r="I91" s="3" t="s">
        <v>236</v>
      </c>
      <c r="J91" s="3" t="s">
        <v>237</v>
      </c>
      <c r="K91" s="3" t="s">
        <v>238</v>
      </c>
    </row>
    <row r="92" spans="1:11" ht="26.4" x14ac:dyDescent="0.3">
      <c r="A92" s="2">
        <v>12</v>
      </c>
      <c r="B92" s="2">
        <v>2</v>
      </c>
      <c r="C92" s="8" t="s">
        <v>309</v>
      </c>
      <c r="D92" s="3" t="s">
        <v>239</v>
      </c>
      <c r="E92" s="3" t="s">
        <v>240</v>
      </c>
      <c r="F92" s="26">
        <v>0.58052972823805404</v>
      </c>
      <c r="G92" s="18">
        <v>0.611205</v>
      </c>
      <c r="H92" s="24" t="str">
        <f>IF(F92&gt;G92, "YES", "NO")</f>
        <v>NO</v>
      </c>
      <c r="I92" s="3" t="s">
        <v>241</v>
      </c>
      <c r="J92" s="3"/>
      <c r="K92" s="3" t="s">
        <v>238</v>
      </c>
    </row>
    <row r="93" spans="1:11" ht="26.4" x14ac:dyDescent="0.3">
      <c r="A93" s="2">
        <v>12</v>
      </c>
      <c r="B93" s="2">
        <v>3</v>
      </c>
      <c r="C93" s="8" t="s">
        <v>310</v>
      </c>
      <c r="D93" s="3" t="s">
        <v>242</v>
      </c>
      <c r="E93" s="3" t="s">
        <v>243</v>
      </c>
      <c r="F93" s="26">
        <v>-3.8163993411561001E-2</v>
      </c>
      <c r="G93" s="18">
        <v>-3.4834999999999998E-2</v>
      </c>
      <c r="H93" s="24" t="str">
        <f>IF(F93&gt;G93, "YES", "NO")</f>
        <v>NO</v>
      </c>
      <c r="I93" s="3" t="s">
        <v>244</v>
      </c>
      <c r="J93" s="3"/>
      <c r="K93" s="3" t="s">
        <v>238</v>
      </c>
    </row>
    <row r="94" spans="1:11" ht="52.8" x14ac:dyDescent="0.3">
      <c r="A94" s="2">
        <v>12</v>
      </c>
      <c r="B94" s="2">
        <v>4</v>
      </c>
      <c r="C94" s="8" t="s">
        <v>311</v>
      </c>
      <c r="D94" s="3" t="s">
        <v>245</v>
      </c>
      <c r="E94" s="3" t="s">
        <v>246</v>
      </c>
      <c r="F94" s="26">
        <v>0.191803778343374</v>
      </c>
      <c r="G94" s="18">
        <v>-4.0255419999999997</v>
      </c>
      <c r="H94" s="25" t="str">
        <f>IF(F94&gt;G94, "YES", "NO")</f>
        <v>YES</v>
      </c>
      <c r="I94" s="3" t="s">
        <v>247</v>
      </c>
      <c r="J94" s="3" t="s">
        <v>248</v>
      </c>
      <c r="K94" s="3" t="s">
        <v>238</v>
      </c>
    </row>
    <row r="95" spans="1:11" ht="66" x14ac:dyDescent="0.3">
      <c r="A95" s="2">
        <v>12</v>
      </c>
      <c r="B95" s="2">
        <v>5</v>
      </c>
      <c r="C95" s="8" t="s">
        <v>312</v>
      </c>
      <c r="D95" s="3" t="s">
        <v>249</v>
      </c>
      <c r="E95" s="3" t="s">
        <v>250</v>
      </c>
      <c r="F95" s="26">
        <v>8232.9810674255696</v>
      </c>
      <c r="G95" s="18">
        <v>1088.859618</v>
      </c>
      <c r="H95" s="25" t="str">
        <f>IF(F95&gt;G95, "YES", "NO")</f>
        <v>YES</v>
      </c>
      <c r="I95" s="3" t="s">
        <v>251</v>
      </c>
      <c r="J95" s="3" t="s">
        <v>252</v>
      </c>
      <c r="K95" s="3" t="s">
        <v>238</v>
      </c>
    </row>
    <row r="96" spans="1:11" ht="26.4" x14ac:dyDescent="0.3">
      <c r="A96" s="2">
        <v>12</v>
      </c>
      <c r="B96" s="2">
        <v>6</v>
      </c>
      <c r="C96" s="8" t="s">
        <v>313</v>
      </c>
      <c r="D96" s="3" t="s">
        <v>253</v>
      </c>
      <c r="E96" s="3" t="s">
        <v>254</v>
      </c>
      <c r="F96" s="26">
        <v>-0.74569660620125999</v>
      </c>
      <c r="G96" s="18">
        <v>-0.71426500000000004</v>
      </c>
      <c r="H96" s="24" t="str">
        <f>IF(F96&gt;G96, "YES", "NO")</f>
        <v>NO</v>
      </c>
      <c r="I96" s="3" t="s">
        <v>255</v>
      </c>
      <c r="J96" s="3"/>
      <c r="K96" s="3" t="s">
        <v>238</v>
      </c>
    </row>
    <row r="97" spans="1:11" ht="26.4" x14ac:dyDescent="0.3">
      <c r="A97" s="2">
        <v>12</v>
      </c>
      <c r="B97" s="2">
        <v>7</v>
      </c>
      <c r="C97" s="8" t="s">
        <v>328</v>
      </c>
      <c r="D97" s="3" t="s">
        <v>256</v>
      </c>
      <c r="E97" s="3" t="s">
        <v>257</v>
      </c>
      <c r="F97" s="26">
        <v>2.8349088484770202</v>
      </c>
      <c r="G97" s="18">
        <v>1.364968</v>
      </c>
      <c r="H97" s="25" t="str">
        <f>IF(F97&gt;G97, "YES", "NO")</f>
        <v>YES</v>
      </c>
      <c r="I97" s="3" t="s">
        <v>258</v>
      </c>
      <c r="J97" s="3"/>
      <c r="K97" s="3" t="s">
        <v>238</v>
      </c>
    </row>
    <row r="98" spans="1:11" ht="39.6" x14ac:dyDescent="0.3">
      <c r="A98" s="2">
        <v>12</v>
      </c>
      <c r="B98" s="2">
        <v>8</v>
      </c>
      <c r="C98" s="8" t="s">
        <v>314</v>
      </c>
      <c r="D98" s="3" t="s">
        <v>259</v>
      </c>
      <c r="E98" s="3" t="s">
        <v>260</v>
      </c>
      <c r="F98" s="26">
        <v>9.7649403489443998</v>
      </c>
      <c r="G98" s="18">
        <v>9.5984820000000006</v>
      </c>
      <c r="H98" s="25" t="str">
        <f>IF(F98&gt;G98, "YES", "NO")</f>
        <v>YES</v>
      </c>
      <c r="I98" s="3" t="s">
        <v>208</v>
      </c>
      <c r="J98" s="3"/>
      <c r="K98" s="3" t="s">
        <v>238</v>
      </c>
    </row>
    <row r="99" spans="1:11" ht="52.8" x14ac:dyDescent="0.3">
      <c r="A99" s="2">
        <v>13</v>
      </c>
      <c r="B99" s="2">
        <v>1</v>
      </c>
      <c r="C99" s="8" t="s">
        <v>308</v>
      </c>
      <c r="D99" s="3" t="s">
        <v>261</v>
      </c>
      <c r="E99" s="3" t="s">
        <v>262</v>
      </c>
      <c r="F99" s="12">
        <v>9.9219966322852696E-9</v>
      </c>
      <c r="G99" s="17">
        <v>7.6999999999999999E-16</v>
      </c>
      <c r="H99" s="25" t="str">
        <f>IF(F99&gt;G99, "YES", "NO")</f>
        <v>YES</v>
      </c>
      <c r="I99" s="3" t="s">
        <v>263</v>
      </c>
      <c r="J99" s="3" t="s">
        <v>264</v>
      </c>
      <c r="K99" s="3" t="s">
        <v>265</v>
      </c>
    </row>
    <row r="100" spans="1:11" ht="92.4" x14ac:dyDescent="0.3">
      <c r="A100" s="2">
        <v>13</v>
      </c>
      <c r="B100" s="2">
        <v>2</v>
      </c>
      <c r="C100" s="8" t="s">
        <v>309</v>
      </c>
      <c r="D100" s="3" t="s">
        <v>266</v>
      </c>
      <c r="E100" s="3" t="s">
        <v>267</v>
      </c>
      <c r="F100" s="26">
        <v>0.67356628515528705</v>
      </c>
      <c r="G100" s="18">
        <v>0.611205</v>
      </c>
      <c r="H100" s="25" t="str">
        <f>IF(F100&gt;G100, "YES", "NO")</f>
        <v>YES</v>
      </c>
      <c r="I100" s="3" t="s">
        <v>268</v>
      </c>
      <c r="J100" s="3" t="s">
        <v>269</v>
      </c>
      <c r="K100" s="3" t="s">
        <v>265</v>
      </c>
    </row>
    <row r="101" spans="1:11" ht="52.8" x14ac:dyDescent="0.3">
      <c r="A101" s="2">
        <v>13</v>
      </c>
      <c r="B101" s="2">
        <v>3</v>
      </c>
      <c r="C101" s="8" t="s">
        <v>310</v>
      </c>
      <c r="D101" s="3" t="s">
        <v>270</v>
      </c>
      <c r="E101" s="3" t="s">
        <v>271</v>
      </c>
      <c r="F101" s="26">
        <v>-3.34846263341557E-2</v>
      </c>
      <c r="G101" s="18">
        <v>-3.4834999999999998E-2</v>
      </c>
      <c r="H101" s="25" t="str">
        <f>IF(F101&gt;G101, "YES", "NO")</f>
        <v>YES</v>
      </c>
      <c r="I101" s="3" t="s">
        <v>272</v>
      </c>
      <c r="J101" s="3" t="s">
        <v>273</v>
      </c>
      <c r="K101" s="3" t="s">
        <v>265</v>
      </c>
    </row>
    <row r="102" spans="1:11" ht="52.8" x14ac:dyDescent="0.3">
      <c r="A102" s="2">
        <v>13</v>
      </c>
      <c r="B102" s="2">
        <v>4</v>
      </c>
      <c r="C102" s="8" t="s">
        <v>311</v>
      </c>
      <c r="D102" s="3" t="s">
        <v>274</v>
      </c>
      <c r="E102" s="3" t="s">
        <v>275</v>
      </c>
      <c r="F102" s="26">
        <v>0.51133923754735</v>
      </c>
      <c r="G102" s="18">
        <v>-4.0255419999999997</v>
      </c>
      <c r="H102" s="25" t="str">
        <f>IF(F102&gt;G102, "YES", "NO")</f>
        <v>YES</v>
      </c>
      <c r="I102" s="3" t="s">
        <v>276</v>
      </c>
      <c r="J102" s="3" t="s">
        <v>277</v>
      </c>
      <c r="K102" s="3" t="s">
        <v>265</v>
      </c>
    </row>
    <row r="103" spans="1:11" ht="66" x14ac:dyDescent="0.3">
      <c r="A103" s="2">
        <v>13</v>
      </c>
      <c r="B103" s="2">
        <v>5</v>
      </c>
      <c r="C103" s="8" t="s">
        <v>312</v>
      </c>
      <c r="D103" s="3" t="s">
        <v>249</v>
      </c>
      <c r="E103" s="3" t="s">
        <v>278</v>
      </c>
      <c r="F103" s="26">
        <v>8662.4825000000001</v>
      </c>
      <c r="G103" s="18">
        <v>1088.859618</v>
      </c>
      <c r="H103" s="25" t="str">
        <f>IF(F103&gt;G103, "YES", "NO")</f>
        <v>YES</v>
      </c>
      <c r="I103" s="3" t="s">
        <v>279</v>
      </c>
      <c r="J103" s="3" t="s">
        <v>280</v>
      </c>
      <c r="K103" s="3" t="s">
        <v>265</v>
      </c>
    </row>
    <row r="104" spans="1:11" ht="26.4" x14ac:dyDescent="0.3">
      <c r="A104" s="2">
        <v>13</v>
      </c>
      <c r="B104" s="2">
        <v>6</v>
      </c>
      <c r="C104" s="8" t="s">
        <v>313</v>
      </c>
      <c r="D104" s="3" t="s">
        <v>281</v>
      </c>
      <c r="E104" s="3" t="s">
        <v>282</v>
      </c>
      <c r="F104" s="26">
        <v>-0.39403460700394599</v>
      </c>
      <c r="G104" s="18">
        <v>-0.71426500000000004</v>
      </c>
      <c r="H104" s="25" t="str">
        <f>IF(F104&gt;G104, "YES", "NO")</f>
        <v>YES</v>
      </c>
      <c r="I104" s="3" t="s">
        <v>283</v>
      </c>
      <c r="J104" s="3" t="s">
        <v>284</v>
      </c>
      <c r="K104" s="3" t="s">
        <v>265</v>
      </c>
    </row>
    <row r="105" spans="1:11" ht="52.8" x14ac:dyDescent="0.3">
      <c r="A105" s="2">
        <v>13</v>
      </c>
      <c r="B105" s="2">
        <v>7</v>
      </c>
      <c r="C105" s="8" t="s">
        <v>328</v>
      </c>
      <c r="D105" s="3" t="s">
        <v>285</v>
      </c>
      <c r="E105" s="3" t="s">
        <v>286</v>
      </c>
      <c r="F105" s="26">
        <v>3.01354210881949</v>
      </c>
      <c r="G105" s="18">
        <v>1.364968</v>
      </c>
      <c r="H105" s="25" t="str">
        <f>IF(F105&gt;G105, "YES", "NO")</f>
        <v>YES</v>
      </c>
      <c r="I105" s="3" t="s">
        <v>287</v>
      </c>
      <c r="J105" s="3" t="s">
        <v>288</v>
      </c>
      <c r="K105" s="3" t="s">
        <v>265</v>
      </c>
    </row>
    <row r="106" spans="1:11" ht="39.6" x14ac:dyDescent="0.3">
      <c r="A106" s="2">
        <v>13</v>
      </c>
      <c r="B106" s="2">
        <v>8</v>
      </c>
      <c r="C106" s="8" t="s">
        <v>314</v>
      </c>
      <c r="D106" s="3" t="s">
        <v>289</v>
      </c>
      <c r="E106" s="3" t="s">
        <v>290</v>
      </c>
      <c r="F106" s="26">
        <v>9.9916641642904001</v>
      </c>
      <c r="G106" s="18">
        <v>9.5984820000000006</v>
      </c>
      <c r="H106" s="25" t="str">
        <f>IF(F106&gt;G106, "YES", "NO")</f>
        <v>YES</v>
      </c>
      <c r="I106" s="3" t="s">
        <v>291</v>
      </c>
      <c r="J106" s="3" t="s">
        <v>292</v>
      </c>
      <c r="K106" s="3" t="s">
        <v>265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81F4-ACFC-4FB0-932C-CA0E59693D95}">
  <dimension ref="A1:V10"/>
  <sheetViews>
    <sheetView workbookViewId="0">
      <selection activeCell="T3" sqref="T3:T10"/>
    </sheetView>
  </sheetViews>
  <sheetFormatPr defaultRowHeight="14.4" x14ac:dyDescent="0.3"/>
  <cols>
    <col min="1" max="1" width="12.88671875" customWidth="1"/>
    <col min="2" max="2" width="36.44140625" customWidth="1"/>
    <col min="3" max="3" width="12.33203125" bestFit="1" customWidth="1"/>
    <col min="4" max="6" width="13.6640625" style="5" customWidth="1"/>
    <col min="7" max="19" width="11.44140625" customWidth="1"/>
    <col min="20" max="21" width="14.77734375" customWidth="1"/>
    <col min="22" max="22" width="12.6640625" customWidth="1"/>
  </cols>
  <sheetData>
    <row r="1" spans="1:22" ht="17.399999999999999" x14ac:dyDescent="0.3">
      <c r="A1" s="23" t="s">
        <v>306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2" x14ac:dyDescent="0.3">
      <c r="A2" s="1" t="s">
        <v>1</v>
      </c>
      <c r="B2" s="13" t="s">
        <v>2</v>
      </c>
      <c r="C2" s="13" t="s">
        <v>307</v>
      </c>
      <c r="D2" s="14" t="s">
        <v>329</v>
      </c>
      <c r="E2" s="14" t="s">
        <v>330</v>
      </c>
      <c r="F2" s="14" t="s">
        <v>347</v>
      </c>
      <c r="G2" s="4" t="s">
        <v>293</v>
      </c>
      <c r="H2" s="4" t="s">
        <v>294</v>
      </c>
      <c r="I2" s="4" t="s">
        <v>295</v>
      </c>
      <c r="J2" s="4" t="s">
        <v>296</v>
      </c>
      <c r="K2" s="4" t="s">
        <v>297</v>
      </c>
      <c r="L2" s="4" t="s">
        <v>298</v>
      </c>
      <c r="M2" s="4" t="s">
        <v>299</v>
      </c>
      <c r="N2" s="4" t="s">
        <v>300</v>
      </c>
      <c r="O2" s="4" t="s">
        <v>301</v>
      </c>
      <c r="P2" s="4" t="s">
        <v>302</v>
      </c>
      <c r="Q2" s="4" t="s">
        <v>303</v>
      </c>
      <c r="R2" s="4" t="s">
        <v>304</v>
      </c>
      <c r="S2" s="4" t="s">
        <v>305</v>
      </c>
      <c r="T2" s="16" t="s">
        <v>348</v>
      </c>
      <c r="U2" s="16" t="s">
        <v>349</v>
      </c>
      <c r="V2" s="16" t="s">
        <v>350</v>
      </c>
    </row>
    <row r="3" spans="1:22" x14ac:dyDescent="0.3">
      <c r="A3" s="6">
        <v>1</v>
      </c>
      <c r="B3" s="8" t="s">
        <v>331</v>
      </c>
      <c r="C3" s="8" t="s">
        <v>339</v>
      </c>
      <c r="D3" s="15">
        <v>2</v>
      </c>
      <c r="E3" s="15">
        <v>10</v>
      </c>
      <c r="F3" s="15">
        <f>E3+12</f>
        <v>22</v>
      </c>
      <c r="G3" s="7" t="s">
        <v>315</v>
      </c>
      <c r="H3" s="12">
        <v>1.33191455092814E-22</v>
      </c>
      <c r="I3" s="12">
        <v>2.0399999999999999E-50</v>
      </c>
      <c r="J3" s="12">
        <v>-3.8906491001027099E-8</v>
      </c>
      <c r="K3" s="12">
        <v>5.18447033641838E-188</v>
      </c>
      <c r="L3" s="12">
        <v>8.0746915640365095E-24</v>
      </c>
      <c r="M3" s="12">
        <v>-7.4473758903836903E-6</v>
      </c>
      <c r="N3" s="12">
        <v>2.00959888961409E-19</v>
      </c>
      <c r="O3" s="12">
        <v>6.8809691038865201E-15</v>
      </c>
      <c r="P3" s="12">
        <v>3.1729477753260398E-11</v>
      </c>
      <c r="Q3" s="12">
        <v>3.2391814125096901E-13</v>
      </c>
      <c r="R3" s="12">
        <v>5.0007374606083996E-13</v>
      </c>
      <c r="S3" s="12">
        <v>9.9219966322852696E-9</v>
      </c>
      <c r="T3" s="17">
        <v>7.6999999999999999E-16</v>
      </c>
      <c r="U3" s="10">
        <v>9.9200000000000005E-9</v>
      </c>
      <c r="V3">
        <v>15</v>
      </c>
    </row>
    <row r="4" spans="1:22" x14ac:dyDescent="0.3">
      <c r="A4" s="6">
        <v>2</v>
      </c>
      <c r="B4" s="8" t="s">
        <v>332</v>
      </c>
      <c r="C4" s="8" t="s">
        <v>340</v>
      </c>
      <c r="D4" s="15">
        <v>2</v>
      </c>
      <c r="E4" s="15">
        <v>10</v>
      </c>
      <c r="F4" s="15">
        <f t="shared" ref="F4:F10" si="0">E4+12</f>
        <v>22</v>
      </c>
      <c r="G4" s="7" t="s">
        <v>315</v>
      </c>
      <c r="H4" s="12">
        <v>-4.06515001086925E-2</v>
      </c>
      <c r="I4" s="12">
        <v>0.46874170500000001</v>
      </c>
      <c r="J4" s="12">
        <v>0.487563380234947</v>
      </c>
      <c r="K4" s="12">
        <v>0.64654787133380098</v>
      </c>
      <c r="L4" s="12">
        <v>0.57833665117315802</v>
      </c>
      <c r="M4" s="12">
        <v>0.56354655195403702</v>
      </c>
      <c r="N4" s="12">
        <v>0.68318750746611201</v>
      </c>
      <c r="O4" s="12">
        <v>0.636072868318181</v>
      </c>
      <c r="P4" s="12">
        <v>0.510942460466704</v>
      </c>
      <c r="Q4" s="12">
        <v>0.61354631015277605</v>
      </c>
      <c r="R4" s="12">
        <v>0.58052972823805404</v>
      </c>
      <c r="S4" s="12">
        <v>0.67356628515528705</v>
      </c>
      <c r="T4" s="18">
        <v>0.611205</v>
      </c>
      <c r="U4">
        <v>0.68318800000000002</v>
      </c>
      <c r="V4">
        <v>11</v>
      </c>
    </row>
    <row r="5" spans="1:22" x14ac:dyDescent="0.3">
      <c r="A5" s="6">
        <v>3</v>
      </c>
      <c r="B5" s="8" t="s">
        <v>333</v>
      </c>
      <c r="C5" s="8" t="s">
        <v>341</v>
      </c>
      <c r="D5" s="15">
        <v>3</v>
      </c>
      <c r="E5" s="15">
        <v>15</v>
      </c>
      <c r="F5" s="15">
        <f t="shared" si="0"/>
        <v>27</v>
      </c>
      <c r="G5" s="7" t="s">
        <v>315</v>
      </c>
      <c r="H5" s="12">
        <v>-5.0614721289941197E-2</v>
      </c>
      <c r="I5" s="12">
        <v>-1.9508020000000001E-2</v>
      </c>
      <c r="J5" s="12">
        <v>-0.119425055304959</v>
      </c>
      <c r="K5" s="12">
        <v>-2.1356884976208301E-2</v>
      </c>
      <c r="L5" s="12">
        <v>-1.5072047974664601E-2</v>
      </c>
      <c r="M5" s="12">
        <v>-6.9598830439694295E-2</v>
      </c>
      <c r="N5" s="12">
        <v>-2.3447827971171301E-2</v>
      </c>
      <c r="O5" s="12">
        <v>-2.92692404572319E-2</v>
      </c>
      <c r="P5" s="12">
        <v>-1.8516070209495E-2</v>
      </c>
      <c r="Q5" s="12">
        <v>-1.8111872745105399E-2</v>
      </c>
      <c r="R5" s="12">
        <v>-3.8163993411561001E-2</v>
      </c>
      <c r="S5" s="12">
        <v>-3.34846263341557E-2</v>
      </c>
      <c r="T5" s="18">
        <v>-3.4834999999999998E-2</v>
      </c>
      <c r="U5">
        <v>-1.5072E-2</v>
      </c>
      <c r="V5">
        <v>16</v>
      </c>
    </row>
    <row r="6" spans="1:22" x14ac:dyDescent="0.3">
      <c r="A6" s="6">
        <v>4</v>
      </c>
      <c r="B6" s="8" t="s">
        <v>334</v>
      </c>
      <c r="C6" s="8" t="s">
        <v>342</v>
      </c>
      <c r="D6" s="15">
        <v>4</v>
      </c>
      <c r="E6" s="15">
        <v>30</v>
      </c>
      <c r="F6" s="15">
        <f t="shared" si="0"/>
        <v>42</v>
      </c>
      <c r="G6" s="7" t="s">
        <v>315</v>
      </c>
      <c r="H6" s="12">
        <v>-7.1321248299912199</v>
      </c>
      <c r="I6" s="12">
        <v>0.20379356000000001</v>
      </c>
      <c r="J6" s="12">
        <v>-0.99159507701166605</v>
      </c>
      <c r="K6" s="12">
        <v>-0.99147347285462095</v>
      </c>
      <c r="L6" s="12">
        <v>-3.1420150111834699</v>
      </c>
      <c r="M6" s="12">
        <v>0.65735861032431198</v>
      </c>
      <c r="N6" s="12">
        <v>0.66407830328145001</v>
      </c>
      <c r="O6" s="12">
        <v>0.47213000985672998</v>
      </c>
      <c r="P6" s="12">
        <v>0.27362150638406002</v>
      </c>
      <c r="Q6" s="12">
        <v>-1.33441564160183</v>
      </c>
      <c r="R6" s="12">
        <v>0.191803778343374</v>
      </c>
      <c r="S6" s="12">
        <v>0.51133923754735</v>
      </c>
      <c r="T6" s="18">
        <v>-4.0255419999999997</v>
      </c>
      <c r="U6">
        <v>0.66407799999999995</v>
      </c>
      <c r="V6">
        <v>4</v>
      </c>
    </row>
    <row r="7" spans="1:22" x14ac:dyDescent="0.3">
      <c r="A7" s="6">
        <v>5</v>
      </c>
      <c r="B7" s="8" t="s">
        <v>335</v>
      </c>
      <c r="C7" s="8" t="s">
        <v>343</v>
      </c>
      <c r="D7" s="15">
        <v>4</v>
      </c>
      <c r="E7" s="15">
        <v>20</v>
      </c>
      <c r="F7" s="15">
        <f t="shared" si="0"/>
        <v>32</v>
      </c>
      <c r="G7" s="7" t="s">
        <v>315</v>
      </c>
      <c r="H7" s="12">
        <v>1829.8098754788</v>
      </c>
      <c r="I7" s="12">
        <v>710.60225060000005</v>
      </c>
      <c r="J7" s="12">
        <v>2699.1044904370701</v>
      </c>
      <c r="K7" s="12">
        <v>3179.3893932320898</v>
      </c>
      <c r="L7" s="12">
        <v>2855.1401029189701</v>
      </c>
      <c r="M7" s="12">
        <v>4461.2436211644099</v>
      </c>
      <c r="N7" s="12">
        <v>4826.2826878285396</v>
      </c>
      <c r="O7" s="12">
        <v>5022.76751174116</v>
      </c>
      <c r="P7" s="12">
        <v>14653.3604054444</v>
      </c>
      <c r="Q7" s="12">
        <v>6469.9950290803899</v>
      </c>
      <c r="R7" s="12">
        <v>8232.9810674255696</v>
      </c>
      <c r="S7" s="12">
        <v>8662.4825000000001</v>
      </c>
      <c r="T7" s="18">
        <v>1088.859618</v>
      </c>
      <c r="U7">
        <v>8662.4825000000001</v>
      </c>
      <c r="V7">
        <v>1</v>
      </c>
    </row>
    <row r="8" spans="1:22" x14ac:dyDescent="0.3">
      <c r="A8" s="6">
        <v>6</v>
      </c>
      <c r="B8" s="8" t="s">
        <v>336</v>
      </c>
      <c r="C8" s="8" t="s">
        <v>344</v>
      </c>
      <c r="D8" s="15">
        <v>5</v>
      </c>
      <c r="E8" s="15">
        <v>20</v>
      </c>
      <c r="F8" s="15">
        <f t="shared" si="0"/>
        <v>32</v>
      </c>
      <c r="G8" s="7" t="s">
        <v>315</v>
      </c>
      <c r="H8" s="12">
        <v>-1.24194611523558</v>
      </c>
      <c r="I8" s="12">
        <v>-0.352944867</v>
      </c>
      <c r="J8" s="12">
        <v>-0.83729982581632001</v>
      </c>
      <c r="K8" s="12">
        <v>-1.46843028601973</v>
      </c>
      <c r="L8" s="12">
        <v>-0.45458148212640298</v>
      </c>
      <c r="M8" s="12">
        <v>-0.85930386783637902</v>
      </c>
      <c r="N8" s="12">
        <v>-0.65077452828844495</v>
      </c>
      <c r="O8" s="12">
        <v>-0.33838131155696999</v>
      </c>
      <c r="P8" s="12">
        <v>-1.0888312429906599</v>
      </c>
      <c r="Q8" s="12">
        <v>-1.32064594746533</v>
      </c>
      <c r="R8" s="12">
        <v>-0.74569660620125999</v>
      </c>
      <c r="S8" s="12">
        <v>-0.39403460700394599</v>
      </c>
      <c r="T8" s="18">
        <v>-0.71426500000000004</v>
      </c>
      <c r="U8">
        <v>-0.33838099999999999</v>
      </c>
      <c r="V8">
        <v>17</v>
      </c>
    </row>
    <row r="9" spans="1:22" x14ac:dyDescent="0.3">
      <c r="A9" s="6">
        <v>7</v>
      </c>
      <c r="B9" s="8" t="s">
        <v>337</v>
      </c>
      <c r="C9" s="8" t="s">
        <v>345</v>
      </c>
      <c r="D9" s="15">
        <v>6</v>
      </c>
      <c r="E9" s="15">
        <v>30</v>
      </c>
      <c r="F9" s="15">
        <f t="shared" si="0"/>
        <v>42</v>
      </c>
      <c r="G9" s="7" t="s">
        <v>315</v>
      </c>
      <c r="H9" s="12">
        <v>0.59279407706388199</v>
      </c>
      <c r="I9" s="12">
        <v>2.5947984220000002</v>
      </c>
      <c r="J9" s="12">
        <v>1.0880407938022301</v>
      </c>
      <c r="K9" s="12">
        <v>1.3110332595883301</v>
      </c>
      <c r="L9" s="12">
        <v>2.1303125658200899</v>
      </c>
      <c r="M9" s="12">
        <v>2.0635881593816801</v>
      </c>
      <c r="N9" s="12">
        <v>1.6429286618958701</v>
      </c>
      <c r="O9" s="12">
        <v>2.7492080249859301</v>
      </c>
      <c r="P9" s="12">
        <v>1.7623642104450401</v>
      </c>
      <c r="Q9" s="12">
        <v>2.6270290722093699</v>
      </c>
      <c r="R9" s="12">
        <v>2.8349088484770202</v>
      </c>
      <c r="S9" s="12">
        <v>3.01354210881949</v>
      </c>
      <c r="T9" s="18">
        <v>1.364968</v>
      </c>
      <c r="U9">
        <v>3.0135420000000002</v>
      </c>
      <c r="V9">
        <v>5</v>
      </c>
    </row>
    <row r="10" spans="1:22" x14ac:dyDescent="0.3">
      <c r="A10" s="6">
        <v>8</v>
      </c>
      <c r="B10" s="8" t="s">
        <v>338</v>
      </c>
      <c r="C10" s="8" t="s">
        <v>346</v>
      </c>
      <c r="D10" s="15">
        <v>8</v>
      </c>
      <c r="E10" s="15">
        <v>40</v>
      </c>
      <c r="F10" s="15">
        <f t="shared" si="0"/>
        <v>52</v>
      </c>
      <c r="G10" s="7" t="s">
        <v>315</v>
      </c>
      <c r="H10" s="12">
        <v>8.2648840239025994</v>
      </c>
      <c r="I10" s="12">
        <v>7.3509853559999998</v>
      </c>
      <c r="J10" s="12">
        <v>9.7600836726275002</v>
      </c>
      <c r="K10" s="12">
        <v>8.5908296806611002</v>
      </c>
      <c r="L10" s="12">
        <v>9.6199985919071</v>
      </c>
      <c r="M10" s="12">
        <v>9.6382091831286001</v>
      </c>
      <c r="N10" s="12">
        <v>9.7527229771375996</v>
      </c>
      <c r="O10" s="12">
        <v>9.7302013685809996</v>
      </c>
      <c r="P10" s="12">
        <v>9.9082946045743991</v>
      </c>
      <c r="Q10" s="12">
        <v>9.7292849417595999</v>
      </c>
      <c r="R10" s="12">
        <v>9.7649403489443998</v>
      </c>
      <c r="S10" s="12">
        <v>9.9916641642904001</v>
      </c>
      <c r="T10" s="18">
        <v>9.5984820000000006</v>
      </c>
      <c r="U10">
        <v>9.9916640000000001</v>
      </c>
      <c r="V10">
        <v>5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weeksummary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Zune</cp:lastModifiedBy>
  <dcterms:created xsi:type="dcterms:W3CDTF">2026-09-02T05:06:41Z</dcterms:created>
  <dcterms:modified xsi:type="dcterms:W3CDTF">2026-09-02T06:17:13Z</dcterms:modified>
</cp:coreProperties>
</file>